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Vicky Patel\Desktop\Excel\Project\"/>
    </mc:Choice>
  </mc:AlternateContent>
  <xr:revisionPtr revIDLastSave="0" documentId="13_ncr:1_{EA85E86E-1E47-4996-AFFA-DF9979D103C3}" xr6:coauthVersionLast="47" xr6:coauthVersionMax="47" xr10:uidLastSave="{00000000-0000-0000-0000-000000000000}"/>
  <bookViews>
    <workbookView xWindow="-110" yWindow="-110" windowWidth="19420" windowHeight="11020" activeTab="4" xr2:uid="{6BBD064C-EEA6-4790-AC86-CE357EE925E3}"/>
  </bookViews>
  <sheets>
    <sheet name="Product Master" sheetId="1" r:id="rId1"/>
    <sheet name="Customer_Master" sheetId="2" r:id="rId2"/>
    <sheet name="Sales Data" sheetId="3" r:id="rId3"/>
    <sheet name="Analysis" sheetId="4" r:id="rId4"/>
    <sheet name="Dashboard" sheetId="5" r:id="rId5"/>
  </sheets>
  <definedNames>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5" l="1"/>
  <c r="D5" i="5"/>
  <c r="C5" i="5"/>
  <c r="A5" i="5"/>
  <c r="B19" i="4" a="1"/>
  <c r="B19" i="4" s="1"/>
  <c r="B18" i="4"/>
  <c r="B10" i="4"/>
  <c r="B9" i="4"/>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2" i="3"/>
  <c r="H3" i="3"/>
  <c r="J3" i="3" s="1"/>
  <c r="K3" i="3" s="1"/>
  <c r="H4" i="3"/>
  <c r="J4" i="3" s="1"/>
  <c r="K4" i="3" s="1"/>
  <c r="H5" i="3"/>
  <c r="J5" i="3" s="1"/>
  <c r="K5" i="3" s="1"/>
  <c r="H6" i="3"/>
  <c r="J6" i="3" s="1"/>
  <c r="K6" i="3" s="1"/>
  <c r="H7" i="3"/>
  <c r="J7" i="3" s="1"/>
  <c r="K7" i="3" s="1"/>
  <c r="H8" i="3"/>
  <c r="J8" i="3" s="1"/>
  <c r="K8" i="3" s="1"/>
  <c r="H9" i="3"/>
  <c r="J9" i="3" s="1"/>
  <c r="K9" i="3" s="1"/>
  <c r="H10" i="3"/>
  <c r="J10" i="3" s="1"/>
  <c r="K10" i="3" s="1"/>
  <c r="H11" i="3"/>
  <c r="J11" i="3" s="1"/>
  <c r="K11" i="3" s="1"/>
  <c r="H12" i="3"/>
  <c r="J12" i="3" s="1"/>
  <c r="K12" i="3" s="1"/>
  <c r="H13" i="3"/>
  <c r="J13" i="3" s="1"/>
  <c r="K13" i="3" s="1"/>
  <c r="H14" i="3"/>
  <c r="J14" i="3" s="1"/>
  <c r="K14" i="3" s="1"/>
  <c r="H15" i="3"/>
  <c r="J15" i="3" s="1"/>
  <c r="K15" i="3" s="1"/>
  <c r="H16" i="3"/>
  <c r="J16" i="3" s="1"/>
  <c r="K16" i="3" s="1"/>
  <c r="H17" i="3"/>
  <c r="J17" i="3" s="1"/>
  <c r="K17" i="3" s="1"/>
  <c r="H18" i="3"/>
  <c r="J18" i="3" s="1"/>
  <c r="K18" i="3" s="1"/>
  <c r="H19" i="3"/>
  <c r="J19" i="3" s="1"/>
  <c r="K19" i="3" s="1"/>
  <c r="H20" i="3"/>
  <c r="J20" i="3" s="1"/>
  <c r="K20" i="3" s="1"/>
  <c r="H21" i="3"/>
  <c r="J21" i="3" s="1"/>
  <c r="K21" i="3" s="1"/>
  <c r="H22" i="3"/>
  <c r="J22" i="3" s="1"/>
  <c r="K22" i="3" s="1"/>
  <c r="H23" i="3"/>
  <c r="J23" i="3" s="1"/>
  <c r="K23" i="3" s="1"/>
  <c r="H24" i="3"/>
  <c r="J24" i="3" s="1"/>
  <c r="K24" i="3" s="1"/>
  <c r="H25" i="3"/>
  <c r="J25" i="3" s="1"/>
  <c r="K25" i="3" s="1"/>
  <c r="H26" i="3"/>
  <c r="J26" i="3" s="1"/>
  <c r="K26" i="3" s="1"/>
  <c r="H27" i="3"/>
  <c r="J27" i="3" s="1"/>
  <c r="K27" i="3" s="1"/>
  <c r="H28" i="3"/>
  <c r="J28" i="3" s="1"/>
  <c r="K28" i="3" s="1"/>
  <c r="H29" i="3"/>
  <c r="J29" i="3" s="1"/>
  <c r="K29" i="3" s="1"/>
  <c r="H30" i="3"/>
  <c r="J30" i="3" s="1"/>
  <c r="K30" i="3" s="1"/>
  <c r="H31" i="3"/>
  <c r="J31" i="3" s="1"/>
  <c r="K31" i="3" s="1"/>
  <c r="H32" i="3"/>
  <c r="J32" i="3" s="1"/>
  <c r="K32" i="3" s="1"/>
  <c r="H33" i="3"/>
  <c r="J33" i="3" s="1"/>
  <c r="K33" i="3" s="1"/>
  <c r="H34" i="3"/>
  <c r="J34" i="3" s="1"/>
  <c r="K34" i="3" s="1"/>
  <c r="H35" i="3"/>
  <c r="J35" i="3" s="1"/>
  <c r="K35" i="3" s="1"/>
  <c r="H36" i="3"/>
  <c r="J36" i="3" s="1"/>
  <c r="K36" i="3" s="1"/>
  <c r="H37" i="3"/>
  <c r="J37" i="3" s="1"/>
  <c r="K37" i="3" s="1"/>
  <c r="H38" i="3"/>
  <c r="J38" i="3" s="1"/>
  <c r="K38" i="3" s="1"/>
  <c r="H39" i="3"/>
  <c r="J39" i="3" s="1"/>
  <c r="K39" i="3" s="1"/>
  <c r="H40" i="3"/>
  <c r="J40" i="3" s="1"/>
  <c r="K40" i="3" s="1"/>
  <c r="H41" i="3"/>
  <c r="J41" i="3" s="1"/>
  <c r="K41" i="3" s="1"/>
  <c r="H42" i="3"/>
  <c r="J42" i="3" s="1"/>
  <c r="K42" i="3" s="1"/>
  <c r="H43" i="3"/>
  <c r="J43" i="3" s="1"/>
  <c r="K43" i="3" s="1"/>
  <c r="H44" i="3"/>
  <c r="J44" i="3" s="1"/>
  <c r="K44" i="3" s="1"/>
  <c r="H45" i="3"/>
  <c r="J45" i="3" s="1"/>
  <c r="K45" i="3" s="1"/>
  <c r="H46" i="3"/>
  <c r="J46" i="3" s="1"/>
  <c r="K46" i="3" s="1"/>
  <c r="H47" i="3"/>
  <c r="J47" i="3" s="1"/>
  <c r="K47" i="3" s="1"/>
  <c r="H48" i="3"/>
  <c r="J48" i="3" s="1"/>
  <c r="K48" i="3" s="1"/>
  <c r="H49" i="3"/>
  <c r="J49" i="3" s="1"/>
  <c r="K49" i="3" s="1"/>
  <c r="H50" i="3"/>
  <c r="J50" i="3" s="1"/>
  <c r="K50" i="3" s="1"/>
  <c r="H51" i="3"/>
  <c r="J51" i="3" s="1"/>
  <c r="K51" i="3" s="1"/>
  <c r="H52" i="3"/>
  <c r="J52" i="3" s="1"/>
  <c r="K52" i="3" s="1"/>
  <c r="H53" i="3"/>
  <c r="J53" i="3" s="1"/>
  <c r="K53" i="3" s="1"/>
  <c r="H54" i="3"/>
  <c r="J54" i="3" s="1"/>
  <c r="K54" i="3" s="1"/>
  <c r="H55" i="3"/>
  <c r="J55" i="3" s="1"/>
  <c r="K55" i="3" s="1"/>
  <c r="H56" i="3"/>
  <c r="J56" i="3" s="1"/>
  <c r="K56" i="3" s="1"/>
  <c r="H57" i="3"/>
  <c r="J57" i="3" s="1"/>
  <c r="K57" i="3" s="1"/>
  <c r="H58" i="3"/>
  <c r="J58" i="3" s="1"/>
  <c r="K58" i="3" s="1"/>
  <c r="H59" i="3"/>
  <c r="J59" i="3" s="1"/>
  <c r="K59" i="3" s="1"/>
  <c r="H60" i="3"/>
  <c r="J60" i="3" s="1"/>
  <c r="K60" i="3" s="1"/>
  <c r="H61" i="3"/>
  <c r="J61" i="3" s="1"/>
  <c r="K61" i="3" s="1"/>
  <c r="H62" i="3"/>
  <c r="J62" i="3" s="1"/>
  <c r="K62" i="3" s="1"/>
  <c r="H63" i="3"/>
  <c r="J63" i="3" s="1"/>
  <c r="K63" i="3" s="1"/>
  <c r="H64" i="3"/>
  <c r="J64" i="3" s="1"/>
  <c r="K64" i="3" s="1"/>
  <c r="H65" i="3"/>
  <c r="J65" i="3" s="1"/>
  <c r="K65" i="3" s="1"/>
  <c r="H66" i="3"/>
  <c r="J66" i="3" s="1"/>
  <c r="K66" i="3" s="1"/>
  <c r="H67" i="3"/>
  <c r="J67" i="3" s="1"/>
  <c r="K67" i="3" s="1"/>
  <c r="H68" i="3"/>
  <c r="J68" i="3" s="1"/>
  <c r="K68" i="3" s="1"/>
  <c r="H69" i="3"/>
  <c r="J69" i="3" s="1"/>
  <c r="K69" i="3" s="1"/>
  <c r="H70" i="3"/>
  <c r="J70" i="3" s="1"/>
  <c r="K70" i="3" s="1"/>
  <c r="H71" i="3"/>
  <c r="J71" i="3" s="1"/>
  <c r="K71" i="3" s="1"/>
  <c r="H72" i="3"/>
  <c r="J72" i="3" s="1"/>
  <c r="K72" i="3" s="1"/>
  <c r="H73" i="3"/>
  <c r="J73" i="3" s="1"/>
  <c r="K73" i="3" s="1"/>
  <c r="H74" i="3"/>
  <c r="J74" i="3" s="1"/>
  <c r="K74" i="3" s="1"/>
  <c r="H75" i="3"/>
  <c r="J75" i="3" s="1"/>
  <c r="K75" i="3" s="1"/>
  <c r="H76" i="3"/>
  <c r="J76" i="3" s="1"/>
  <c r="K76" i="3" s="1"/>
  <c r="H77" i="3"/>
  <c r="J77" i="3" s="1"/>
  <c r="K77" i="3" s="1"/>
  <c r="H78" i="3"/>
  <c r="J78" i="3" s="1"/>
  <c r="K78" i="3" s="1"/>
  <c r="H79" i="3"/>
  <c r="J79" i="3" s="1"/>
  <c r="K79" i="3" s="1"/>
  <c r="H80" i="3"/>
  <c r="J80" i="3" s="1"/>
  <c r="K80" i="3" s="1"/>
  <c r="H81" i="3"/>
  <c r="J81" i="3" s="1"/>
  <c r="K81" i="3" s="1"/>
  <c r="H82" i="3"/>
  <c r="J82" i="3" s="1"/>
  <c r="K82" i="3" s="1"/>
  <c r="H83" i="3"/>
  <c r="J83" i="3" s="1"/>
  <c r="K83" i="3" s="1"/>
  <c r="H84" i="3"/>
  <c r="J84" i="3" s="1"/>
  <c r="K84" i="3" s="1"/>
  <c r="H85" i="3"/>
  <c r="J85" i="3" s="1"/>
  <c r="K85" i="3" s="1"/>
  <c r="H86" i="3"/>
  <c r="J86" i="3" s="1"/>
  <c r="K86" i="3" s="1"/>
  <c r="H87" i="3"/>
  <c r="J87" i="3" s="1"/>
  <c r="K87" i="3" s="1"/>
  <c r="H88" i="3"/>
  <c r="J88" i="3" s="1"/>
  <c r="K88" i="3" s="1"/>
  <c r="H89" i="3"/>
  <c r="J89" i="3" s="1"/>
  <c r="K89" i="3" s="1"/>
  <c r="H90" i="3"/>
  <c r="J90" i="3" s="1"/>
  <c r="K90" i="3" s="1"/>
  <c r="H91" i="3"/>
  <c r="J91" i="3" s="1"/>
  <c r="K91" i="3" s="1"/>
  <c r="H92" i="3"/>
  <c r="J92" i="3" s="1"/>
  <c r="K92" i="3" s="1"/>
  <c r="H93" i="3"/>
  <c r="J93" i="3" s="1"/>
  <c r="K93" i="3" s="1"/>
  <c r="H94" i="3"/>
  <c r="J94" i="3" s="1"/>
  <c r="K94" i="3" s="1"/>
  <c r="H95" i="3"/>
  <c r="J95" i="3" s="1"/>
  <c r="K95" i="3" s="1"/>
  <c r="H96" i="3"/>
  <c r="J96" i="3" s="1"/>
  <c r="K96" i="3" s="1"/>
  <c r="H97" i="3"/>
  <c r="J97" i="3" s="1"/>
  <c r="K97" i="3" s="1"/>
  <c r="H98" i="3"/>
  <c r="J98" i="3" s="1"/>
  <c r="K98" i="3" s="1"/>
  <c r="H99" i="3"/>
  <c r="J99" i="3" s="1"/>
  <c r="K99" i="3" s="1"/>
  <c r="H100" i="3"/>
  <c r="J100" i="3" s="1"/>
  <c r="K100" i="3" s="1"/>
  <c r="H101" i="3"/>
  <c r="J101" i="3" s="1"/>
  <c r="K101" i="3" s="1"/>
  <c r="H2" i="3"/>
  <c r="J2" i="3" s="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2"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32" i="3"/>
  <c r="F33" i="3"/>
  <c r="F34"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2" i="3"/>
  <c r="B17" i="4" l="1"/>
  <c r="B8" i="4"/>
  <c r="B7" i="4"/>
  <c r="B5" i="4"/>
  <c r="B16" i="4" s="1"/>
  <c r="K2" i="3"/>
  <c r="B11" i="4" l="1"/>
  <c r="B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<sst xmlns="http://schemas.openxmlformats.org/spreadsheetml/2006/main" count="487" uniqueCount="178">
  <si>
    <t>Product ID</t>
  </si>
  <si>
    <t>Product Name</t>
  </si>
  <si>
    <t>Category</t>
  </si>
  <si>
    <t>Unit Price</t>
  </si>
  <si>
    <t>Cost Price</t>
  </si>
  <si>
    <t>Customer ID</t>
  </si>
  <si>
    <t>Customer Name</t>
  </si>
  <si>
    <t>Region</t>
  </si>
  <si>
    <t>State</t>
  </si>
  <si>
    <t>Order ID</t>
  </si>
  <si>
    <t>Quantity</t>
  </si>
  <si>
    <t>Sales</t>
  </si>
  <si>
    <t>Profit</t>
  </si>
  <si>
    <t>P101</t>
  </si>
  <si>
    <t>Laptop</t>
  </si>
  <si>
    <t>Electronics</t>
  </si>
  <si>
    <t>P102</t>
  </si>
  <si>
    <t>Mouse</t>
  </si>
  <si>
    <t>P103</t>
  </si>
  <si>
    <t>Keyboard</t>
  </si>
  <si>
    <t>P104</t>
  </si>
  <si>
    <t>Monitor</t>
  </si>
  <si>
    <t>P105</t>
  </si>
  <si>
    <t>Printer</t>
  </si>
  <si>
    <t>P106</t>
  </si>
  <si>
    <t>Mobile</t>
  </si>
  <si>
    <t>P107</t>
  </si>
  <si>
    <t>Earbuds</t>
  </si>
  <si>
    <t>P108</t>
  </si>
  <si>
    <t>Smart Watch</t>
  </si>
  <si>
    <t>P109</t>
  </si>
  <si>
    <t>Chair</t>
  </si>
  <si>
    <t>Furniture</t>
  </si>
  <si>
    <t>P110</t>
  </si>
  <si>
    <t>Table</t>
  </si>
  <si>
    <t>P111</t>
  </si>
  <si>
    <t>Sofa</t>
  </si>
  <si>
    <t>P112</t>
  </si>
  <si>
    <t>Cupboard</t>
  </si>
  <si>
    <t>P113</t>
  </si>
  <si>
    <t>Bed</t>
  </si>
  <si>
    <t>P114</t>
  </si>
  <si>
    <t>Notebook</t>
  </si>
  <si>
    <t>Stationery</t>
  </si>
  <si>
    <t>P115</t>
  </si>
  <si>
    <t>Pen</t>
  </si>
  <si>
    <t>P116</t>
  </si>
  <si>
    <t>Marker</t>
  </si>
  <si>
    <t>P117</t>
  </si>
  <si>
    <t>File Folder</t>
  </si>
  <si>
    <t>P118</t>
  </si>
  <si>
    <t>Backpack</t>
  </si>
  <si>
    <t>Accessories</t>
  </si>
  <si>
    <t>P119</t>
  </si>
  <si>
    <t>Water Bottle</t>
  </si>
  <si>
    <t>P120</t>
  </si>
  <si>
    <t>Lunch Box</t>
  </si>
  <si>
    <t>P121</t>
  </si>
  <si>
    <t>Calculator</t>
  </si>
  <si>
    <t>P122</t>
  </si>
  <si>
    <t>USB Drive</t>
  </si>
  <si>
    <t>P123</t>
  </si>
  <si>
    <t>Power Bank</t>
  </si>
  <si>
    <t>P124</t>
  </si>
  <si>
    <t>Desk Lamp</t>
  </si>
  <si>
    <t>P125</t>
  </si>
  <si>
    <t>Office Chair</t>
  </si>
  <si>
    <t>P126</t>
  </si>
  <si>
    <t>Whiteboard</t>
  </si>
  <si>
    <t>P127</t>
  </si>
  <si>
    <t>Headphones</t>
  </si>
  <si>
    <t>P128</t>
  </si>
  <si>
    <t>Coffee Mug</t>
  </si>
  <si>
    <t>P129</t>
  </si>
  <si>
    <t>Extension Board</t>
  </si>
  <si>
    <t>P130</t>
  </si>
  <si>
    <t>Mouse Pad</t>
  </si>
  <si>
    <t>C001</t>
  </si>
  <si>
    <t>Amit Patel</t>
  </si>
  <si>
    <t>West</t>
  </si>
  <si>
    <t>Gujarat</t>
  </si>
  <si>
    <t>C002</t>
  </si>
  <si>
    <t>Rahul Shah</t>
  </si>
  <si>
    <t>C003</t>
  </si>
  <si>
    <t>Neha Patel</t>
  </si>
  <si>
    <t>C004</t>
  </si>
  <si>
    <t>Priya Mehta</t>
  </si>
  <si>
    <t>Maharashtra</t>
  </si>
  <si>
    <t>C005</t>
  </si>
  <si>
    <t>Karan Joshi</t>
  </si>
  <si>
    <t>C006</t>
  </si>
  <si>
    <t>Riya Desai</t>
  </si>
  <si>
    <t>Rajasthan</t>
  </si>
  <si>
    <t>C007</t>
  </si>
  <si>
    <t>Mohit Singh</t>
  </si>
  <si>
    <t>North</t>
  </si>
  <si>
    <t>Delhi</t>
  </si>
  <si>
    <t>C008</t>
  </si>
  <si>
    <t>Anjali Verma</t>
  </si>
  <si>
    <t>C009</t>
  </si>
  <si>
    <t>Rohit Kumar</t>
  </si>
  <si>
    <t>Punjab</t>
  </si>
  <si>
    <t>C010</t>
  </si>
  <si>
    <t>Simran Kaur</t>
  </si>
  <si>
    <t>C011</t>
  </si>
  <si>
    <t>Arjun Sharma</t>
  </si>
  <si>
    <t>Haryana</t>
  </si>
  <si>
    <t>C012</t>
  </si>
  <si>
    <t>Sneha Gupta</t>
  </si>
  <si>
    <t>Uttar Pradesh</t>
  </si>
  <si>
    <t>C013</t>
  </si>
  <si>
    <t>Vivek Yadav</t>
  </si>
  <si>
    <t>C014</t>
  </si>
  <si>
    <t>Pooja Mishra</t>
  </si>
  <si>
    <t>East</t>
  </si>
  <si>
    <t>Bihar</t>
  </si>
  <si>
    <t>C015</t>
  </si>
  <si>
    <t>Rajesh Das</t>
  </si>
  <si>
    <t>West Bengal</t>
  </si>
  <si>
    <t>C016</t>
  </si>
  <si>
    <t>Suman Roy</t>
  </si>
  <si>
    <t>C017</t>
  </si>
  <si>
    <t>Ankita Ghosh</t>
  </si>
  <si>
    <t>Odisha</t>
  </si>
  <si>
    <t>C018</t>
  </si>
  <si>
    <t>Deepak Nayak</t>
  </si>
  <si>
    <t>C019</t>
  </si>
  <si>
    <t>Suresh Reddy</t>
  </si>
  <si>
    <t>South</t>
  </si>
  <si>
    <t>Telangana</t>
  </si>
  <si>
    <t>C020</t>
  </si>
  <si>
    <t>Kavya Rao</t>
  </si>
  <si>
    <t>Karnataka</t>
  </si>
  <si>
    <t>C021</t>
  </si>
  <si>
    <t>Nikhil Nair</t>
  </si>
  <si>
    <t>Kerala</t>
  </si>
  <si>
    <t>C022</t>
  </si>
  <si>
    <t>Divya Iyer</t>
  </si>
  <si>
    <t>Tamil Nadu</t>
  </si>
  <si>
    <t>C023</t>
  </si>
  <si>
    <t>Harish Kumar</t>
  </si>
  <si>
    <t>C024</t>
  </si>
  <si>
    <t>Meera Pillai</t>
  </si>
  <si>
    <t>C025</t>
  </si>
  <si>
    <t>Jay Patel</t>
  </si>
  <si>
    <t>C026</t>
  </si>
  <si>
    <t>Krunal Shah</t>
  </si>
  <si>
    <t>C027</t>
  </si>
  <si>
    <t>Aisha Khan</t>
  </si>
  <si>
    <t>C028</t>
  </si>
  <si>
    <t>Manish Verma</t>
  </si>
  <si>
    <t>C029</t>
  </si>
  <si>
    <t>Rohan Jain</t>
  </si>
  <si>
    <t>C030</t>
  </si>
  <si>
    <t>Priti Sharma</t>
  </si>
  <si>
    <t>Order Date</t>
  </si>
  <si>
    <t>Retail Sales Analysis</t>
  </si>
  <si>
    <t>Total Sales</t>
  </si>
  <si>
    <t>Total Profit</t>
  </si>
  <si>
    <t>Average Sales</t>
  </si>
  <si>
    <t>Median Sales</t>
  </si>
  <si>
    <t>Total Orders</t>
  </si>
  <si>
    <t>Total Quantity</t>
  </si>
  <si>
    <t>Average Profit</t>
  </si>
  <si>
    <t>KPI Summary</t>
  </si>
  <si>
    <t>Formula Practice</t>
  </si>
  <si>
    <t>IF</t>
  </si>
  <si>
    <t>SUMIF</t>
  </si>
  <si>
    <t>MATCH</t>
  </si>
  <si>
    <t>INDEX</t>
  </si>
  <si>
    <t>Electronic Total Sales</t>
  </si>
  <si>
    <t>Position of Product ID P110</t>
  </si>
  <si>
    <t>Pivot Table Analysis</t>
  </si>
  <si>
    <t>Grand Total</t>
  </si>
  <si>
    <t>Sum of Sales</t>
  </si>
  <si>
    <t>Retail Sales Dashboard</t>
  </si>
  <si>
    <t>Sum of Profit</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</si>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</sst>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_ [$₹-4009]\ * #,##0.00_ ;_ [$₹-4009]\ * \-#,##0.00_ ;_ [$₹-4009]\ * &quot;-&quot;??_ ;_ @_ "/>
  </numFmts>
  <fonts count="11" x14ac:knownFonts="1">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sz val="11"/>
      <color theme="1"/>
      <name val="Aptos Narrow"/>
      <family val="2"/>
      <scheme val="minor"/>
    </font>
    <font>
      <b/>
      <sz val="20"/>
      <color theme="1"/>
      <name val="Aptos Narrow"/>
      <family val="2"/>
      <scheme val="minor"/>
    </font>
    <font>
      <b/>
      <sz val="11"/>
      <color theme="0"/>
      <name val="Aptos Narrow"/>
      <family val="2"/>
      <scheme val="minor"/>
    </font>
    <font>
      <sz val="11"/>
      <color theme="0"/>
      <name val="Aptos Narrow"/>
      <family val="2"/>
      <scheme val="minor"/>
    </font>
    <font>
      <b/>
      <sz val="24"/>
      <color theme="1"/>
      <name val="Aptos Narrow"/>
      <family val="2"/>
      <scheme val="minor"/>
    </font>
    <font>
      <b/>
      <sz val="16"/>
      <color theme="0"/>
      <name val="Aptos Narrow"/>
      <family val="2"/>
      <scheme val="minor"/>
    </font>
    <font>
      <b/>
      <sz val="12"/>
      <color theme="0"/>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theme="3" tint="0.499984740745262"/>
        <bgColor indexed="64"/>
      </patternFill>
    </fill>
  </fills>
  <borders count="21">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4" fillId="0" borderId="0" applyFont="0" applyFill="0" applyBorder="0" applyAlignment="0" applyProtection="0"/>
  </cellStyleXfs>
  <cellXfs count="6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right"/>
    </xf>
    <xf numFmtId="14" fontId="0" fillId="0" borderId="0" xfId="0" applyNumberFormat="1" applyAlignment="1">
      <alignment horizontal="right"/>
    </xf>
    <xf numFmtId="0" fontId="0" fillId="0" borderId="1" xfId="0" applyBorder="1"/>
    <xf numFmtId="0" fontId="0" fillId="0" borderId="0" xfId="0" applyBorder="1"/>
    <xf numFmtId="0" fontId="0" fillId="0" borderId="3" xfId="0" applyBorder="1"/>
    <xf numFmtId="0" fontId="0" fillId="0" borderId="2" xfId="0" applyBorder="1"/>
    <xf numFmtId="0" fontId="0" fillId="0" borderId="4" xfId="0" applyBorder="1"/>
    <xf numFmtId="0" fontId="0" fillId="0" borderId="4" xfId="0" applyFont="1" applyBorder="1"/>
    <xf numFmtId="43" fontId="0" fillId="0" borderId="4" xfId="1" applyFont="1" applyBorder="1"/>
    <xf numFmtId="43" fontId="0" fillId="0" borderId="4" xfId="1" applyFont="1" applyBorder="1" applyAlignment="1">
      <alignment horizontal="left"/>
    </xf>
    <xf numFmtId="164" fontId="0" fillId="0" borderId="4" xfId="1" applyNumberFormat="1" applyFont="1" applyBorder="1"/>
    <xf numFmtId="0" fontId="0" fillId="0" borderId="4" xfId="0" applyBorder="1" applyAlignment="1">
      <alignment horizontal="left"/>
    </xf>
    <xf numFmtId="0" fontId="1" fillId="0" borderId="4" xfId="0" applyFont="1" applyBorder="1" applyAlignment="1">
      <alignment horizontal="center"/>
    </xf>
    <xf numFmtId="0" fontId="0" fillId="0" borderId="8" xfId="0" applyBorder="1"/>
    <xf numFmtId="0" fontId="0" fillId="0" borderId="8" xfId="0" applyBorder="1" applyAlignment="1"/>
    <xf numFmtId="0" fontId="0" fillId="0" borderId="9" xfId="0" applyBorder="1"/>
    <xf numFmtId="0" fontId="5" fillId="0" borderId="0" xfId="0" applyFont="1" applyFill="1" applyAlignment="1">
      <alignment vertical="center"/>
    </xf>
    <xf numFmtId="0" fontId="0" fillId="0" borderId="4" xfId="0" applyBorder="1" applyAlignment="1">
      <alignment horizontal="left"/>
    </xf>
    <xf numFmtId="0" fontId="5" fillId="0" borderId="0" xfId="0" applyFont="1" applyFill="1" applyBorder="1" applyAlignment="1">
      <alignment vertical="center"/>
    </xf>
    <xf numFmtId="0" fontId="0" fillId="0" borderId="15" xfId="0" applyBorder="1"/>
    <xf numFmtId="0" fontId="0" fillId="0" borderId="16" xfId="0" applyBorder="1"/>
    <xf numFmtId="0" fontId="0" fillId="0" borderId="12" xfId="0" applyBorder="1"/>
    <xf numFmtId="0" fontId="0" fillId="0" borderId="17" xfId="0" applyBorder="1"/>
    <xf numFmtId="0" fontId="0" fillId="0" borderId="13" xfId="0" applyBorder="1"/>
    <xf numFmtId="0" fontId="0" fillId="3" borderId="15" xfId="0" applyFill="1" applyBorder="1"/>
    <xf numFmtId="0" fontId="0" fillId="3" borderId="0" xfId="0" applyFill="1" applyBorder="1"/>
    <xf numFmtId="0" fontId="0" fillId="3" borderId="16" xfId="0" applyFill="1" applyBorder="1"/>
    <xf numFmtId="0" fontId="1" fillId="3" borderId="0" xfId="0" applyFont="1" applyFill="1" applyBorder="1" applyAlignment="1"/>
    <xf numFmtId="165" fontId="1" fillId="3" borderId="0" xfId="0" applyNumberFormat="1" applyFont="1" applyFill="1" applyBorder="1" applyAlignment="1"/>
    <xf numFmtId="0" fontId="0" fillId="0" borderId="5" xfId="0" applyBorder="1"/>
    <xf numFmtId="0" fontId="1" fillId="0" borderId="4" xfId="0" applyFont="1" applyBorder="1"/>
    <xf numFmtId="0" fontId="7" fillId="0" borderId="0" xfId="0" applyFont="1" applyBorder="1"/>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left"/>
    </xf>
    <xf numFmtId="0" fontId="0" fillId="0" borderId="5" xfId="0" applyBorder="1" applyAlignment="1">
      <alignment horizontal="left"/>
    </xf>
    <xf numFmtId="0" fontId="10" fillId="4" borderId="5" xfId="0" applyFont="1" applyFill="1" applyBorder="1" applyAlignment="1">
      <alignment horizontal="center"/>
    </xf>
    <xf numFmtId="0" fontId="10" fillId="4" borderId="6" xfId="0" applyFont="1" applyFill="1" applyBorder="1" applyAlignment="1">
      <alignment horizontal="center"/>
    </xf>
    <xf numFmtId="0" fontId="10" fillId="4" borderId="4" xfId="0" applyFont="1" applyFill="1" applyBorder="1" applyAlignment="1">
      <alignment horizontal="center"/>
    </xf>
    <xf numFmtId="0" fontId="6" fillId="4" borderId="4" xfId="0" applyFont="1" applyFill="1" applyBorder="1" applyAlignment="1">
      <alignment horizontal="center"/>
    </xf>
    <xf numFmtId="0" fontId="8" fillId="2" borderId="10"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0" xfId="0" applyFont="1" applyFill="1" applyBorder="1" applyAlignment="1">
      <alignment horizontal="center" vertical="center"/>
    </xf>
    <xf numFmtId="0" fontId="1" fillId="2" borderId="0" xfId="0" applyFont="1" applyFill="1" applyBorder="1" applyAlignment="1">
      <alignment horizontal="center"/>
    </xf>
    <xf numFmtId="165" fontId="3" fillId="2" borderId="0" xfId="0" applyNumberFormat="1" applyFont="1" applyFill="1" applyBorder="1" applyAlignment="1">
      <alignment horizontal="center" vertical="center"/>
    </xf>
    <xf numFmtId="0" fontId="8" fillId="2" borderId="15" xfId="0" applyFont="1" applyFill="1" applyBorder="1" applyAlignment="1">
      <alignment horizontal="center" vertical="center"/>
    </xf>
    <xf numFmtId="0" fontId="8" fillId="2" borderId="16" xfId="0" applyFont="1" applyFill="1" applyBorder="1" applyAlignment="1">
      <alignment horizontal="center" vertical="center"/>
    </xf>
    <xf numFmtId="0" fontId="1" fillId="2" borderId="15" xfId="0" applyFont="1" applyFill="1" applyBorder="1" applyAlignment="1">
      <alignment horizontal="center" vertical="center"/>
    </xf>
    <xf numFmtId="165" fontId="3" fillId="2" borderId="15" xfId="0" applyNumberFormat="1" applyFont="1" applyFill="1" applyBorder="1" applyAlignment="1">
      <alignment horizontal="center" vertical="center"/>
    </xf>
    <xf numFmtId="43" fontId="0" fillId="0" borderId="18" xfId="0" applyNumberFormat="1" applyBorder="1"/>
    <xf numFmtId="43" fontId="0" fillId="0" borderId="19" xfId="0" applyNumberFormat="1" applyBorder="1"/>
    <xf numFmtId="43" fontId="0" fillId="0" borderId="20" xfId="0" applyNumberFormat="1" applyBorder="1"/>
    <xf numFmtId="0" fontId="0" fillId="0" borderId="4" xfId="0" pivotButton="1" applyBorder="1"/>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20" xfId="0" applyNumberFormat="1" applyBorder="1"/>
    <xf numFmtId="0" fontId="3" fillId="2" borderId="0" xfId="0" applyFont="1" applyFill="1" applyBorder="1" applyAlignment="1">
      <alignment horizontal="center" vertical="center"/>
    </xf>
  </cellXfs>
  <cellStyles count="2">
    <cellStyle name="Comma" xfId="1" builtinId="3"/>
    <cellStyle name="Normal" xfId="0" builtinId="0"/>
  </cellStyles>
  <dxfs count="146">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35" formatCode="_ * #,##0.00_ ;_ * \-#,##0.0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5" formatCode="_ * #,##0.00_ ;_ * \-#,##0.00_ ;_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5" formatCode="_ * #,##0.00_ ;_ * \-#,##0.00_ ;_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5" formatCode="_ * #,##0.00_ ;_ * \-#,##0.00_ ;_ * &quot;-&quot;??_ ;_ @_ "/>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a:t>
            </a:r>
            <a:r>
              <a:rPr lang="en-US"/>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Analysis!$F$6:$F$10</c:f>
              <c:strCache>
                <c:ptCount val="4"/>
                <c:pt idx="0">
                  <c:v>Accessories</c:v>
                </c:pt>
                <c:pt idx="1">
                  <c:v>Electronics</c:v>
                </c:pt>
                <c:pt idx="2">
                  <c:v>Furniture</c:v>
                </c:pt>
                <c:pt idx="3">
                  <c:v>Stationery</c:v>
                </c:pt>
              </c:strCache>
            </c:strRef>
          </c:cat>
          <c:val>
            <c:numRef>
              <c:f>Analysis!$G$6:$G$10</c:f>
              <c:numCache>
                <c:formatCode>_(* #,##0.00_);_(* \(#,##0.00\);_(* "-"??_);_(@_)</c:formatCode>
                <c:ptCount val="4"/>
                <c:pt idx="0">
                  <c:v>23250</c:v>
                </c:pt>
                <c:pt idx="1">
                  <c:v>1350850</c:v>
                </c:pt>
                <c:pt idx="2">
                  <c:v>1055300</c:v>
                </c:pt>
                <c:pt idx="3">
                  <c:v>30340</c:v>
                </c:pt>
              </c:numCache>
            </c:numRef>
          </c:val>
          <c:extLst>
            <c:ext xmlns:c16="http://schemas.microsoft.com/office/drawing/2014/chart" uri="{C3380CC4-5D6E-409C-BE32-E72D297353CC}">
              <c16:uniqueId val="{00000000-1C1C-4C75-B336-9B036B7EABB9}"/>
            </c:ext>
          </c:extLst>
        </c:ser>
        <c:dLbls>
          <c:showLegendKey val="0"/>
          <c:showVal val="0"/>
          <c:showCatName val="0"/>
          <c:showSerName val="0"/>
          <c:showPercent val="0"/>
          <c:showBubbleSize val="0"/>
        </c:dLbls>
        <c:gapWidth val="100"/>
        <c:overlap val="-24"/>
        <c:axId val="1305625440"/>
        <c:axId val="1305626400"/>
      </c:barChart>
      <c:catAx>
        <c:axId val="13056254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5626400"/>
        <c:crosses val="autoZero"/>
        <c:auto val="1"/>
        <c:lblAlgn val="ctr"/>
        <c:lblOffset val="100"/>
        <c:noMultiLvlLbl val="0"/>
      </c:catAx>
      <c:valAx>
        <c:axId val="1305626400"/>
        <c:scaling>
          <c:orientation val="minMax"/>
        </c:scaling>
        <c:delete val="0"/>
        <c:axPos val="l"/>
        <c:majorGridlines>
          <c:spPr>
            <a:ln w="9525" cap="flat" cmpd="sng" algn="ctr">
              <a:solidFill>
                <a:schemeClr val="tx2">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562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Sales Distribution by Category</a:t>
            </a:r>
            <a:endParaRPr lang="en-US" sz="1200" b="1"/>
          </a:p>
        </c:rich>
      </c:tx>
      <c:layout>
        <c:manualLayout>
          <c:xMode val="edge"/>
          <c:yMode val="edge"/>
          <c:x val="0.10325737691879425"/>
          <c:y val="0.152272632587593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1-44E0-8F85-158C516A0F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1-44E0-8F85-158C516A0F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1-44E0-8F85-158C516A0F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1-44E0-8F85-158C516A0F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Analysis!$F$6:$F$10</c:f>
              <c:strCache>
                <c:ptCount val="4"/>
                <c:pt idx="0">
                  <c:v>Accessories</c:v>
                </c:pt>
                <c:pt idx="1">
                  <c:v>Electronics</c:v>
                </c:pt>
                <c:pt idx="2">
                  <c:v>Furniture</c:v>
                </c:pt>
                <c:pt idx="3">
                  <c:v>Stationery</c:v>
                </c:pt>
              </c:strCache>
            </c:strRef>
          </c:cat>
          <c:val>
            <c:numRef>
              <c:f>Analysis!$G$6:$G$10</c:f>
              <c:numCache>
                <c:formatCode>_(* #,##0.00_);_(* \(#,##0.00\);_(* "-"??_);_(@_)</c:formatCode>
                <c:ptCount val="4"/>
                <c:pt idx="0">
                  <c:v>23250</c:v>
                </c:pt>
                <c:pt idx="1">
                  <c:v>1350850</c:v>
                </c:pt>
                <c:pt idx="2">
                  <c:v>1055300</c:v>
                </c:pt>
                <c:pt idx="3">
                  <c:v>30340</c:v>
                </c:pt>
              </c:numCache>
            </c:numRef>
          </c:val>
          <c:extLst>
            <c:ext xmlns:c16="http://schemas.microsoft.com/office/drawing/2014/chart" uri="{C3380CC4-5D6E-409C-BE32-E72D297353CC}">
              <c16:uniqueId val="{00000008-9FC1-44E0-8F85-158C516A0F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State</a:t>
            </a:r>
          </a:p>
        </c:rich>
      </c:tx>
      <c:layout>
        <c:manualLayout>
          <c:xMode val="edge"/>
          <c:yMode val="edge"/>
          <c:x val="0.32102546751968503"/>
          <c:y val="0.136761419411432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Analysis!$M$5</c:f>
              <c:strCache>
                <c:ptCount val="1"/>
                <c:pt idx="0">
                  <c:v>Total</c:v>
                </c:pt>
              </c:strCache>
            </c:strRef>
          </c:tx>
          <c:spPr>
            <a:solidFill>
              <a:schemeClr val="accent1"/>
            </a:solidFill>
            <a:ln>
              <a:noFill/>
            </a:ln>
            <a:effectLst/>
          </c:spPr>
          <c:invertIfNegative val="0"/>
          <c:cat>
            <c:strRef>
              <c:f>Analysis!$L$6:$L$20</c:f>
              <c:strCache>
                <c:ptCount val="14"/>
                <c:pt idx="0">
                  <c:v>Bihar</c:v>
                </c:pt>
                <c:pt idx="1">
                  <c:v>Delhi</c:v>
                </c:pt>
                <c:pt idx="2">
                  <c:v>Gujarat</c:v>
                </c:pt>
                <c:pt idx="3">
                  <c:v>Haryana</c:v>
                </c:pt>
                <c:pt idx="4">
                  <c:v>Karnataka</c:v>
                </c:pt>
                <c:pt idx="5">
                  <c:v>Kerala</c:v>
                </c:pt>
                <c:pt idx="6">
                  <c:v>Maharashtra</c:v>
                </c:pt>
                <c:pt idx="7">
                  <c:v>Odisha</c:v>
                </c:pt>
                <c:pt idx="8">
                  <c:v>Punjab</c:v>
                </c:pt>
                <c:pt idx="9">
                  <c:v>Rajasthan</c:v>
                </c:pt>
                <c:pt idx="10">
                  <c:v>Tamil Nadu</c:v>
                </c:pt>
                <c:pt idx="11">
                  <c:v>Telangana</c:v>
                </c:pt>
                <c:pt idx="12">
                  <c:v>Uttar Pradesh</c:v>
                </c:pt>
                <c:pt idx="13">
                  <c:v>West Bengal</c:v>
                </c:pt>
              </c:strCache>
            </c:strRef>
          </c:cat>
          <c:val>
            <c:numRef>
              <c:f>Analysis!$M$6:$M$20</c:f>
              <c:numCache>
                <c:formatCode>_(* #,##0.00_);_(* \(#,##0.00\);_(* "-"??_);_(@_)</c:formatCode>
                <c:ptCount val="14"/>
                <c:pt idx="0">
                  <c:v>2480</c:v>
                </c:pt>
                <c:pt idx="1">
                  <c:v>92000</c:v>
                </c:pt>
                <c:pt idx="2">
                  <c:v>717000</c:v>
                </c:pt>
                <c:pt idx="3">
                  <c:v>303150</c:v>
                </c:pt>
                <c:pt idx="4">
                  <c:v>5600</c:v>
                </c:pt>
                <c:pt idx="5">
                  <c:v>25800</c:v>
                </c:pt>
                <c:pt idx="6">
                  <c:v>336000</c:v>
                </c:pt>
                <c:pt idx="7">
                  <c:v>11340</c:v>
                </c:pt>
                <c:pt idx="8">
                  <c:v>161000</c:v>
                </c:pt>
                <c:pt idx="9">
                  <c:v>278750</c:v>
                </c:pt>
                <c:pt idx="10">
                  <c:v>26100</c:v>
                </c:pt>
                <c:pt idx="11">
                  <c:v>2000</c:v>
                </c:pt>
                <c:pt idx="12">
                  <c:v>498000</c:v>
                </c:pt>
                <c:pt idx="13">
                  <c:v>520</c:v>
                </c:pt>
              </c:numCache>
            </c:numRef>
          </c:val>
          <c:extLst>
            <c:ext xmlns:c16="http://schemas.microsoft.com/office/drawing/2014/chart" uri="{C3380CC4-5D6E-409C-BE32-E72D297353CC}">
              <c16:uniqueId val="{00000000-3056-490C-9222-7D5AFFB6EF69}"/>
            </c:ext>
          </c:extLst>
        </c:ser>
        <c:dLbls>
          <c:showLegendKey val="0"/>
          <c:showVal val="0"/>
          <c:showCatName val="0"/>
          <c:showSerName val="0"/>
          <c:showPercent val="0"/>
          <c:showBubbleSize val="0"/>
        </c:dLbls>
        <c:gapWidth val="182"/>
        <c:axId val="1257094224"/>
        <c:axId val="1257088464"/>
      </c:barChart>
      <c:catAx>
        <c:axId val="125709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88464"/>
        <c:crosses val="autoZero"/>
        <c:auto val="1"/>
        <c:lblAlgn val="ctr"/>
        <c:lblOffset val="100"/>
        <c:noMultiLvlLbl val="0"/>
      </c:catAx>
      <c:valAx>
        <c:axId val="125708846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5709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Category</a:t>
            </a:r>
          </a:p>
        </c:rich>
      </c:tx>
      <c:layout>
        <c:manualLayout>
          <c:xMode val="edge"/>
          <c:yMode val="edge"/>
          <c:x val="0.24036542206417746"/>
          <c:y val="0.1360397232667816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Analysis!$I$6:$I$10</c:f>
              <c:strCache>
                <c:ptCount val="4"/>
                <c:pt idx="0">
                  <c:v>Accessories</c:v>
                </c:pt>
                <c:pt idx="1">
                  <c:v>Electronics</c:v>
                </c:pt>
                <c:pt idx="2">
                  <c:v>Furniture</c:v>
                </c:pt>
                <c:pt idx="3">
                  <c:v>Stationery</c:v>
                </c:pt>
              </c:strCache>
            </c:strRef>
          </c:cat>
          <c:val>
            <c:numRef>
              <c:f>Analysis!$J$6:$J$10</c:f>
              <c:numCache>
                <c:formatCode>_(* #,##0.00_);_(* \(#,##0.00\);_(* "-"??_);_(@_)</c:formatCode>
                <c:ptCount val="4"/>
                <c:pt idx="0">
                  <c:v>7250</c:v>
                </c:pt>
                <c:pt idx="1">
                  <c:v>225300</c:v>
                </c:pt>
                <c:pt idx="2">
                  <c:v>173000</c:v>
                </c:pt>
                <c:pt idx="3">
                  <c:v>7585</c:v>
                </c:pt>
              </c:numCache>
            </c:numRef>
          </c:val>
          <c:extLst>
            <c:ext xmlns:c16="http://schemas.microsoft.com/office/drawing/2014/chart" uri="{C3380CC4-5D6E-409C-BE32-E72D297353CC}">
              <c16:uniqueId val="{00000000-AE78-49A9-8A08-14E05064CA73}"/>
            </c:ext>
          </c:extLst>
        </c:ser>
        <c:dLbls>
          <c:showLegendKey val="0"/>
          <c:showVal val="0"/>
          <c:showCatName val="0"/>
          <c:showSerName val="0"/>
          <c:showPercent val="0"/>
          <c:showBubbleSize val="0"/>
        </c:dLbls>
        <c:gapWidth val="100"/>
        <c:overlap val="-24"/>
        <c:axId val="1436714400"/>
        <c:axId val="1436718720"/>
      </c:barChart>
      <c:catAx>
        <c:axId val="1436714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18720"/>
        <c:crosses val="autoZero"/>
        <c:auto val="1"/>
        <c:lblAlgn val="ctr"/>
        <c:lblOffset val="100"/>
        <c:noMultiLvlLbl val="0"/>
      </c:catAx>
      <c:valAx>
        <c:axId val="14367187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1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177800</xdr:rowOff>
    </xdr:from>
    <xdr:to>
      <xdr:col>2</xdr:col>
      <xdr:colOff>914400</xdr:colOff>
      <xdr:row>24</xdr:row>
      <xdr:rowOff>0</xdr:rowOff>
    </xdr:to>
    <xdr:graphicFrame macro="">
      <xdr:nvGraphicFramePr>
        <xdr:cNvPr id="2" name="Chart 1">
          <a:extLst>
            <a:ext uri="{FF2B5EF4-FFF2-40B4-BE49-F238E27FC236}">
              <a16:creationId xmlns:a16="http://schemas.microsoft.com/office/drawing/2014/main" id="{D358319B-AEA6-456E-B8A1-3D5FAD86A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8</xdr:row>
      <xdr:rowOff>0</xdr:rowOff>
    </xdr:from>
    <xdr:to>
      <xdr:col>5</xdr:col>
      <xdr:colOff>641350</xdr:colOff>
      <xdr:row>24</xdr:row>
      <xdr:rowOff>6350</xdr:rowOff>
    </xdr:to>
    <xdr:graphicFrame macro="">
      <xdr:nvGraphicFramePr>
        <xdr:cNvPr id="3" name="Chart 2">
          <a:extLst>
            <a:ext uri="{FF2B5EF4-FFF2-40B4-BE49-F238E27FC236}">
              <a16:creationId xmlns:a16="http://schemas.microsoft.com/office/drawing/2014/main" id="{099F074B-5166-4827-BEE6-20B0C6D61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19050</xdr:colOff>
      <xdr:row>3</xdr:row>
      <xdr:rowOff>6350</xdr:rowOff>
    </xdr:from>
    <xdr:to>
      <xdr:col>9</xdr:col>
      <xdr:colOff>393700</xdr:colOff>
      <xdr:row>6</xdr:row>
      <xdr:rowOff>107950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D118941-3D11-FFE5-FB25-F35E6294A4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3000" y="711200"/>
              <a:ext cx="4057650" cy="67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673100</xdr:colOff>
      <xdr:row>8</xdr:row>
      <xdr:rowOff>0</xdr:rowOff>
    </xdr:from>
    <xdr:to>
      <xdr:col>9</xdr:col>
      <xdr:colOff>241300</xdr:colOff>
      <xdr:row>23</xdr:row>
      <xdr:rowOff>177800</xdr:rowOff>
    </xdr:to>
    <xdr:graphicFrame macro="">
      <xdr:nvGraphicFramePr>
        <xdr:cNvPr id="5" name="Chart 4">
          <a:extLst>
            <a:ext uri="{FF2B5EF4-FFF2-40B4-BE49-F238E27FC236}">
              <a16:creationId xmlns:a16="http://schemas.microsoft.com/office/drawing/2014/main" id="{A1DB8923-A797-4EAB-B0ED-9DE3CE4BD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279400</xdr:colOff>
      <xdr:row>7</xdr:row>
      <xdr:rowOff>177800</xdr:rowOff>
    </xdr:from>
    <xdr:to>
      <xdr:col>13</xdr:col>
      <xdr:colOff>0</xdr:colOff>
      <xdr:row>23</xdr:row>
      <xdr:rowOff>177800</xdr:rowOff>
    </xdr:to>
    <xdr:graphicFrame macro="">
      <xdr:nvGraphicFramePr>
        <xdr:cNvPr id="6" name="Chart 5">
          <a:extLst>
            <a:ext uri="{FF2B5EF4-FFF2-40B4-BE49-F238E27FC236}">
              <a16:creationId xmlns:a16="http://schemas.microsoft.com/office/drawing/2014/main" id="{D6FED3DC-ED7D-4D2B-8211-61D698A8C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atel" refreshedDate="46213.965561111108" createdVersion="8" refreshedVersion="8" minRefreshableVersion="3" recordCount="100" xr:uid="{82C0D4C0-540A-4C1D-9B10-95AD25771A0A}">
  <cacheSource type="worksheet">
    <worksheetSource name="Table3"/>
  </cacheSource>
  <cacheFields count="14">
    <cacheField name="Order ID" numFmtId="0">
      <sharedItems containsSemiMixedTypes="0" containsString="0" containsNumber="1" containsInteger="1" minValue="1001" maxValue="1100"/>
    </cacheField>
    <cacheField name="Order Date" numFmtId="14">
      <sharedItems containsSemiMixedTypes="0" containsNonDate="0" containsDate="1" containsString="0" minDate="2025-01-01T00:00:00" maxDate="2025-04-11T00:00:00"/>
    </cacheField>
    <cacheField name="Customer ID" numFmtId="0">
      <sharedItems/>
    </cacheField>
    <cacheField name="Product ID" numFmtId="0">
      <sharedItems/>
    </cacheField>
    <cacheField name="Quantity" numFmtId="0">
      <sharedItems containsSemiMixedTypes="0" containsString="0" containsNumber="1" containsInteger="1" minValue="1" maxValue="5"/>
    </cacheField>
    <cacheField name="Product Name" numFmtId="0">
      <sharedItems/>
    </cacheField>
    <cacheField name="Category" numFmtId="0">
      <sharedItems count="4">
        <s v="Electronics"/>
        <s v="Furniture"/>
        <s v="Stationery"/>
        <s v="Accessories"/>
      </sharedItems>
    </cacheField>
    <cacheField name="Unit Price" numFmtId="0">
      <sharedItems containsSemiMixedTypes="0" containsString="0" containsNumber="1" containsInteger="1" minValue="20" maxValue="50000"/>
    </cacheField>
    <cacheField name="Cost Price" numFmtId="0">
      <sharedItems containsSemiMixedTypes="0" containsString="0" containsNumber="1" containsInteger="1" minValue="10" maxValue="42000"/>
    </cacheField>
    <cacheField name="Sales" numFmtId="0">
      <sharedItems containsSemiMixedTypes="0" containsString="0" containsNumber="1" containsInteger="1" minValue="40" maxValue="250000"/>
    </cacheField>
    <cacheField name="Profit" numFmtId="0">
      <sharedItems containsSemiMixedTypes="0" containsString="0" containsNumber="1" containsInteger="1" minValue="15" maxValue="40000"/>
    </cacheField>
    <cacheField name="Customer Name" numFmtId="0">
      <sharedItems/>
    </cacheField>
    <cacheField name="Region" numFmtId="0">
      <sharedItems count="4">
        <s v="West"/>
        <s v="North"/>
        <s v="East"/>
        <s v="South"/>
      </sharedItems>
    </cacheField>
    <cacheField name="State" numFmtId="0">
      <sharedItems count="14">
        <s v="Gujarat"/>
        <s v="Maharashtra"/>
        <s v="Rajasthan"/>
        <s v="Delhi"/>
        <s v="Punjab"/>
        <s v="Haryana"/>
        <s v="Uttar Pradesh"/>
        <s v="Bihar"/>
        <s v="West Bengal"/>
        <s v="Odisha"/>
        <s v="Telangana"/>
        <s v="Karnataka"/>
        <s v="Kerala"/>
        <s v="Tamil Nadu"/>
      </sharedItems>
    </cacheField>
  </cacheFields>
  <extLst>
    <ext xmlns:x14="http://schemas.microsoft.com/office/spreadsheetml/2009/9/main" uri="{725AE2AE-9491-48be-B2B4-4EB974FC3084}">
      <x14:pivotCacheDefinition pivotCacheId="2096144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5-01-01T00:00:00"/>
    <s v="C001"/>
    <s v="P101"/>
    <n v="2"/>
    <s v="Laptop"/>
    <x v="0"/>
    <n v="50000"/>
    <n v="42000"/>
    <n v="100000"/>
    <n v="16000"/>
    <s v="Amit Patel"/>
    <x v="0"/>
    <x v="0"/>
  </r>
  <r>
    <n v="1002"/>
    <d v="2025-01-02T00:00:00"/>
    <s v="C002"/>
    <s v="P102"/>
    <n v="3"/>
    <s v="Mouse"/>
    <x v="0"/>
    <n v="800"/>
    <n v="500"/>
    <n v="2400"/>
    <n v="900"/>
    <s v="Rahul Shah"/>
    <x v="0"/>
    <x v="0"/>
  </r>
  <r>
    <n v="1003"/>
    <d v="2025-01-03T00:00:00"/>
    <s v="C003"/>
    <s v="P103"/>
    <n v="4"/>
    <s v="Keyboard"/>
    <x v="0"/>
    <n v="1200"/>
    <n v="850"/>
    <n v="4800"/>
    <n v="1400"/>
    <s v="Neha Patel"/>
    <x v="0"/>
    <x v="0"/>
  </r>
  <r>
    <n v="1004"/>
    <d v="2025-01-04T00:00:00"/>
    <s v="C004"/>
    <s v="P104"/>
    <n v="1"/>
    <s v="Monitor"/>
    <x v="0"/>
    <n v="15000"/>
    <n v="12500"/>
    <n v="15000"/>
    <n v="2500"/>
    <s v="Priya Mehta"/>
    <x v="0"/>
    <x v="1"/>
  </r>
  <r>
    <n v="1005"/>
    <d v="2025-01-05T00:00:00"/>
    <s v="C005"/>
    <s v="P105"/>
    <n v="5"/>
    <s v="Printer"/>
    <x v="0"/>
    <n v="9000"/>
    <n v="7600"/>
    <n v="45000"/>
    <n v="7000"/>
    <s v="Karan Joshi"/>
    <x v="0"/>
    <x v="1"/>
  </r>
  <r>
    <n v="1006"/>
    <d v="2025-01-06T00:00:00"/>
    <s v="C006"/>
    <s v="P106"/>
    <n v="1"/>
    <s v="Mobile"/>
    <x v="0"/>
    <n v="25000"/>
    <n v="21000"/>
    <n v="25000"/>
    <n v="4000"/>
    <s v="Riya Desai"/>
    <x v="0"/>
    <x v="2"/>
  </r>
  <r>
    <n v="1007"/>
    <d v="2025-01-07T00:00:00"/>
    <s v="C007"/>
    <s v="P107"/>
    <n v="3"/>
    <s v="Earbuds"/>
    <x v="0"/>
    <n v="2000"/>
    <n v="1500"/>
    <n v="6000"/>
    <n v="1500"/>
    <s v="Mohit Singh"/>
    <x v="1"/>
    <x v="3"/>
  </r>
  <r>
    <n v="1008"/>
    <d v="2025-01-08T00:00:00"/>
    <s v="C008"/>
    <s v="P108"/>
    <n v="2"/>
    <s v="Smart Watch"/>
    <x v="0"/>
    <n v="6000"/>
    <n v="5000"/>
    <n v="12000"/>
    <n v="2000"/>
    <s v="Anjali Verma"/>
    <x v="1"/>
    <x v="3"/>
  </r>
  <r>
    <n v="1009"/>
    <d v="2025-01-09T00:00:00"/>
    <s v="C009"/>
    <s v="P109"/>
    <n v="2"/>
    <s v="Chair"/>
    <x v="1"/>
    <n v="3500"/>
    <n v="2800"/>
    <n v="7000"/>
    <n v="1400"/>
    <s v="Rohit Kumar"/>
    <x v="1"/>
    <x v="4"/>
  </r>
  <r>
    <n v="1010"/>
    <d v="2025-01-10T00:00:00"/>
    <s v="C010"/>
    <s v="P110"/>
    <n v="2"/>
    <s v="Table"/>
    <x v="1"/>
    <n v="7000"/>
    <n v="5800"/>
    <n v="14000"/>
    <n v="2400"/>
    <s v="Simran Kaur"/>
    <x v="1"/>
    <x v="4"/>
  </r>
  <r>
    <n v="1011"/>
    <d v="2025-01-11T00:00:00"/>
    <s v="C011"/>
    <s v="P111"/>
    <n v="4"/>
    <s v="Sofa"/>
    <x v="1"/>
    <n v="25000"/>
    <n v="21000"/>
    <n v="100000"/>
    <n v="16000"/>
    <s v="Arjun Sharma"/>
    <x v="1"/>
    <x v="5"/>
  </r>
  <r>
    <n v="1012"/>
    <d v="2025-01-12T00:00:00"/>
    <s v="C012"/>
    <s v="P112"/>
    <n v="2"/>
    <s v="Cupboard"/>
    <x v="1"/>
    <n v="18000"/>
    <n v="15000"/>
    <n v="36000"/>
    <n v="6000"/>
    <s v="Sneha Gupta"/>
    <x v="1"/>
    <x v="6"/>
  </r>
  <r>
    <n v="1013"/>
    <d v="2025-01-13T00:00:00"/>
    <s v="C013"/>
    <s v="P113"/>
    <n v="5"/>
    <s v="Bed"/>
    <x v="1"/>
    <n v="30000"/>
    <n v="25500"/>
    <n v="150000"/>
    <n v="22500"/>
    <s v="Vivek Yadav"/>
    <x v="1"/>
    <x v="6"/>
  </r>
  <r>
    <n v="1014"/>
    <d v="2025-01-14T00:00:00"/>
    <s v="C014"/>
    <s v="P114"/>
    <n v="1"/>
    <s v="Notebook"/>
    <x v="2"/>
    <n v="80"/>
    <n v="50"/>
    <n v="80"/>
    <n v="30"/>
    <s v="Pooja Mishra"/>
    <x v="2"/>
    <x v="7"/>
  </r>
  <r>
    <n v="1015"/>
    <d v="2025-01-15T00:00:00"/>
    <s v="C015"/>
    <s v="P115"/>
    <n v="4"/>
    <s v="Pen"/>
    <x v="2"/>
    <n v="20"/>
    <n v="10"/>
    <n v="80"/>
    <n v="40"/>
    <s v="Rajesh Das"/>
    <x v="2"/>
    <x v="8"/>
  </r>
  <r>
    <n v="1016"/>
    <d v="2025-01-16T00:00:00"/>
    <s v="C016"/>
    <s v="P116"/>
    <n v="4"/>
    <s v="Marker"/>
    <x v="2"/>
    <n v="40"/>
    <n v="25"/>
    <n v="160"/>
    <n v="60"/>
    <s v="Suman Roy"/>
    <x v="2"/>
    <x v="8"/>
  </r>
  <r>
    <n v="1017"/>
    <d v="2025-01-17T00:00:00"/>
    <s v="C017"/>
    <s v="P117"/>
    <n v="3"/>
    <s v="File Folder"/>
    <x v="2"/>
    <n v="120"/>
    <n v="80"/>
    <n v="360"/>
    <n v="120"/>
    <s v="Ankita Ghosh"/>
    <x v="2"/>
    <x v="9"/>
  </r>
  <r>
    <n v="1018"/>
    <d v="2025-01-18T00:00:00"/>
    <s v="C018"/>
    <s v="P118"/>
    <n v="2"/>
    <s v="Backpack"/>
    <x v="3"/>
    <n v="1500"/>
    <n v="1100"/>
    <n v="3000"/>
    <n v="800"/>
    <s v="Deepak Nayak"/>
    <x v="2"/>
    <x v="9"/>
  </r>
  <r>
    <n v="1019"/>
    <d v="2025-01-19T00:00:00"/>
    <s v="C019"/>
    <s v="P119"/>
    <n v="1"/>
    <s v="Water Bottle"/>
    <x v="3"/>
    <n v="500"/>
    <n v="320"/>
    <n v="500"/>
    <n v="180"/>
    <s v="Suresh Reddy"/>
    <x v="3"/>
    <x v="10"/>
  </r>
  <r>
    <n v="1020"/>
    <d v="2025-01-20T00:00:00"/>
    <s v="C020"/>
    <s v="P120"/>
    <n v="3"/>
    <s v="Lunch Box"/>
    <x v="3"/>
    <n v="700"/>
    <n v="480"/>
    <n v="2100"/>
    <n v="660"/>
    <s v="Kavya Rao"/>
    <x v="3"/>
    <x v="11"/>
  </r>
  <r>
    <n v="1021"/>
    <d v="2025-01-21T00:00:00"/>
    <s v="C021"/>
    <s v="P121"/>
    <n v="5"/>
    <s v="Calculator"/>
    <x v="2"/>
    <n v="600"/>
    <n v="450"/>
    <n v="3000"/>
    <n v="750"/>
    <s v="Nikhil Nair"/>
    <x v="3"/>
    <x v="12"/>
  </r>
  <r>
    <n v="1022"/>
    <d v="2025-01-22T00:00:00"/>
    <s v="C022"/>
    <s v="P122"/>
    <n v="3"/>
    <s v="USB Drive"/>
    <x v="0"/>
    <n v="900"/>
    <n v="650"/>
    <n v="2700"/>
    <n v="750"/>
    <s v="Divya Iyer"/>
    <x v="3"/>
    <x v="13"/>
  </r>
  <r>
    <n v="1023"/>
    <d v="2025-01-23T00:00:00"/>
    <s v="C023"/>
    <s v="P123"/>
    <n v="2"/>
    <s v="Power Bank"/>
    <x v="0"/>
    <n v="1800"/>
    <n v="1400"/>
    <n v="3600"/>
    <n v="800"/>
    <s v="Harish Kumar"/>
    <x v="3"/>
    <x v="13"/>
  </r>
  <r>
    <n v="1024"/>
    <d v="2025-01-24T00:00:00"/>
    <s v="C024"/>
    <s v="P124"/>
    <n v="1"/>
    <s v="Desk Lamp"/>
    <x v="1"/>
    <n v="2200"/>
    <n v="1700"/>
    <n v="2200"/>
    <n v="500"/>
    <s v="Meera Pillai"/>
    <x v="3"/>
    <x v="12"/>
  </r>
  <r>
    <n v="1025"/>
    <d v="2025-01-25T00:00:00"/>
    <s v="C025"/>
    <s v="P125"/>
    <n v="5"/>
    <s v="Office Chair"/>
    <x v="1"/>
    <n v="8500"/>
    <n v="7000"/>
    <n v="42500"/>
    <n v="7500"/>
    <s v="Jay Patel"/>
    <x v="0"/>
    <x v="0"/>
  </r>
  <r>
    <n v="1026"/>
    <d v="2025-01-26T00:00:00"/>
    <s v="C026"/>
    <s v="P126"/>
    <n v="3"/>
    <s v="Whiteboard"/>
    <x v="2"/>
    <n v="2500"/>
    <n v="1900"/>
    <n v="7500"/>
    <n v="1800"/>
    <s v="Krunal Shah"/>
    <x v="0"/>
    <x v="0"/>
  </r>
  <r>
    <n v="1027"/>
    <d v="2025-01-27T00:00:00"/>
    <s v="C027"/>
    <s v="P127"/>
    <n v="2"/>
    <s v="Headphones"/>
    <x v="0"/>
    <n v="3500"/>
    <n v="2800"/>
    <n v="7000"/>
    <n v="1400"/>
    <s v="Aisha Khan"/>
    <x v="1"/>
    <x v="3"/>
  </r>
  <r>
    <n v="1028"/>
    <d v="2025-01-28T00:00:00"/>
    <s v="C028"/>
    <s v="P128"/>
    <n v="5"/>
    <s v="Coffee Mug"/>
    <x v="3"/>
    <n v="350"/>
    <n v="220"/>
    <n v="1750"/>
    <n v="650"/>
    <s v="Manish Verma"/>
    <x v="1"/>
    <x v="5"/>
  </r>
  <r>
    <n v="1029"/>
    <d v="2025-01-29T00:00:00"/>
    <s v="C029"/>
    <s v="P129"/>
    <n v="2"/>
    <s v="Extension Board"/>
    <x v="0"/>
    <n v="750"/>
    <n v="550"/>
    <n v="1500"/>
    <n v="400"/>
    <s v="Rohan Jain"/>
    <x v="0"/>
    <x v="2"/>
  </r>
  <r>
    <n v="1030"/>
    <d v="2025-01-30T00:00:00"/>
    <s v="C030"/>
    <s v="P130"/>
    <n v="1"/>
    <s v="Mouse Pad"/>
    <x v="3"/>
    <n v="250"/>
    <n v="150"/>
    <n v="250"/>
    <n v="100"/>
    <s v="Priti Sharma"/>
    <x v="2"/>
    <x v="7"/>
  </r>
  <r>
    <n v="1031"/>
    <d v="2025-01-31T00:00:00"/>
    <s v="C001"/>
    <s v="P101"/>
    <n v="5"/>
    <s v="Laptop"/>
    <x v="0"/>
    <n v="50000"/>
    <n v="42000"/>
    <n v="250000"/>
    <n v="40000"/>
    <s v="Amit Patel"/>
    <x v="0"/>
    <x v="0"/>
  </r>
  <r>
    <n v="1032"/>
    <d v="2025-02-01T00:00:00"/>
    <s v="C002"/>
    <s v="P102"/>
    <n v="4"/>
    <s v="Mouse"/>
    <x v="0"/>
    <n v="800"/>
    <n v="500"/>
    <n v="3200"/>
    <n v="1200"/>
    <s v="Rahul Shah"/>
    <x v="0"/>
    <x v="0"/>
  </r>
  <r>
    <n v="1033"/>
    <d v="2025-02-02T00:00:00"/>
    <s v="C003"/>
    <s v="P103"/>
    <n v="2"/>
    <s v="Keyboard"/>
    <x v="0"/>
    <n v="1200"/>
    <n v="850"/>
    <n v="2400"/>
    <n v="700"/>
    <s v="Neha Patel"/>
    <x v="0"/>
    <x v="0"/>
  </r>
  <r>
    <n v="1034"/>
    <d v="2025-02-03T00:00:00"/>
    <s v="C004"/>
    <s v="P104"/>
    <n v="4"/>
    <s v="Monitor"/>
    <x v="0"/>
    <n v="15000"/>
    <n v="12500"/>
    <n v="60000"/>
    <n v="10000"/>
    <s v="Priya Mehta"/>
    <x v="0"/>
    <x v="1"/>
  </r>
  <r>
    <n v="1035"/>
    <d v="2025-02-04T00:00:00"/>
    <s v="C005"/>
    <s v="P105"/>
    <n v="2"/>
    <s v="Printer"/>
    <x v="0"/>
    <n v="9000"/>
    <n v="7600"/>
    <n v="18000"/>
    <n v="2800"/>
    <s v="Karan Joshi"/>
    <x v="0"/>
    <x v="1"/>
  </r>
  <r>
    <n v="1036"/>
    <d v="2025-02-05T00:00:00"/>
    <s v="C006"/>
    <s v="P106"/>
    <n v="4"/>
    <s v="Mobile"/>
    <x v="0"/>
    <n v="25000"/>
    <n v="21000"/>
    <n v="100000"/>
    <n v="16000"/>
    <s v="Riya Desai"/>
    <x v="0"/>
    <x v="2"/>
  </r>
  <r>
    <n v="1037"/>
    <d v="2025-02-06T00:00:00"/>
    <s v="C007"/>
    <s v="P107"/>
    <n v="3"/>
    <s v="Earbuds"/>
    <x v="0"/>
    <n v="2000"/>
    <n v="1500"/>
    <n v="6000"/>
    <n v="1500"/>
    <s v="Mohit Singh"/>
    <x v="1"/>
    <x v="3"/>
  </r>
  <r>
    <n v="1038"/>
    <d v="2025-02-07T00:00:00"/>
    <s v="C008"/>
    <s v="P108"/>
    <n v="4"/>
    <s v="Smart Watch"/>
    <x v="0"/>
    <n v="6000"/>
    <n v="5000"/>
    <n v="24000"/>
    <n v="4000"/>
    <s v="Anjali Verma"/>
    <x v="1"/>
    <x v="3"/>
  </r>
  <r>
    <n v="1039"/>
    <d v="2025-02-08T00:00:00"/>
    <s v="C009"/>
    <s v="P109"/>
    <n v="2"/>
    <s v="Chair"/>
    <x v="1"/>
    <n v="3500"/>
    <n v="2800"/>
    <n v="7000"/>
    <n v="1400"/>
    <s v="Rohit Kumar"/>
    <x v="1"/>
    <x v="4"/>
  </r>
  <r>
    <n v="1040"/>
    <d v="2025-02-09T00:00:00"/>
    <s v="C010"/>
    <s v="P110"/>
    <n v="5"/>
    <s v="Table"/>
    <x v="1"/>
    <n v="7000"/>
    <n v="5800"/>
    <n v="35000"/>
    <n v="6000"/>
    <s v="Simran Kaur"/>
    <x v="1"/>
    <x v="4"/>
  </r>
  <r>
    <n v="1041"/>
    <d v="2025-02-10T00:00:00"/>
    <s v="C011"/>
    <s v="P111"/>
    <n v="5"/>
    <s v="Sofa"/>
    <x v="1"/>
    <n v="25000"/>
    <n v="21000"/>
    <n v="125000"/>
    <n v="20000"/>
    <s v="Arjun Sharma"/>
    <x v="1"/>
    <x v="5"/>
  </r>
  <r>
    <n v="1042"/>
    <d v="2025-02-11T00:00:00"/>
    <s v="C012"/>
    <s v="P112"/>
    <n v="4"/>
    <s v="Cupboard"/>
    <x v="1"/>
    <n v="18000"/>
    <n v="15000"/>
    <n v="72000"/>
    <n v="12000"/>
    <s v="Sneha Gupta"/>
    <x v="1"/>
    <x v="6"/>
  </r>
  <r>
    <n v="1043"/>
    <d v="2025-02-12T00:00:00"/>
    <s v="C013"/>
    <s v="P113"/>
    <n v="3"/>
    <s v="Bed"/>
    <x v="1"/>
    <n v="30000"/>
    <n v="25500"/>
    <n v="90000"/>
    <n v="13500"/>
    <s v="Vivek Yadav"/>
    <x v="1"/>
    <x v="6"/>
  </r>
  <r>
    <n v="1044"/>
    <d v="2025-02-13T00:00:00"/>
    <s v="C014"/>
    <s v="P114"/>
    <n v="4"/>
    <s v="Notebook"/>
    <x v="2"/>
    <n v="80"/>
    <n v="50"/>
    <n v="320"/>
    <n v="120"/>
    <s v="Pooja Mishra"/>
    <x v="2"/>
    <x v="7"/>
  </r>
  <r>
    <n v="1045"/>
    <d v="2025-02-14T00:00:00"/>
    <s v="C015"/>
    <s v="P115"/>
    <n v="4"/>
    <s v="Pen"/>
    <x v="2"/>
    <n v="20"/>
    <n v="10"/>
    <n v="80"/>
    <n v="40"/>
    <s v="Rajesh Das"/>
    <x v="2"/>
    <x v="8"/>
  </r>
  <r>
    <n v="1046"/>
    <d v="2025-02-15T00:00:00"/>
    <s v="C016"/>
    <s v="P116"/>
    <n v="1"/>
    <s v="Marker"/>
    <x v="2"/>
    <n v="40"/>
    <n v="25"/>
    <n v="40"/>
    <n v="15"/>
    <s v="Suman Roy"/>
    <x v="2"/>
    <x v="8"/>
  </r>
  <r>
    <n v="1047"/>
    <d v="2025-02-16T00:00:00"/>
    <s v="C017"/>
    <s v="P117"/>
    <n v="1"/>
    <s v="File Folder"/>
    <x v="2"/>
    <n v="120"/>
    <n v="80"/>
    <n v="120"/>
    <n v="40"/>
    <s v="Ankita Ghosh"/>
    <x v="2"/>
    <x v="9"/>
  </r>
  <r>
    <n v="1048"/>
    <d v="2025-02-17T00:00:00"/>
    <s v="C018"/>
    <s v="P118"/>
    <n v="2"/>
    <s v="Backpack"/>
    <x v="3"/>
    <n v="1500"/>
    <n v="1100"/>
    <n v="3000"/>
    <n v="800"/>
    <s v="Deepak Nayak"/>
    <x v="2"/>
    <x v="9"/>
  </r>
  <r>
    <n v="1049"/>
    <d v="2025-02-18T00:00:00"/>
    <s v="C019"/>
    <s v="P119"/>
    <n v="2"/>
    <s v="Water Bottle"/>
    <x v="3"/>
    <n v="500"/>
    <n v="320"/>
    <n v="1000"/>
    <n v="360"/>
    <s v="Suresh Reddy"/>
    <x v="3"/>
    <x v="10"/>
  </r>
  <r>
    <n v="1050"/>
    <d v="2025-02-19T00:00:00"/>
    <s v="C020"/>
    <s v="P120"/>
    <n v="3"/>
    <s v="Lunch Box"/>
    <x v="3"/>
    <n v="700"/>
    <n v="480"/>
    <n v="2100"/>
    <n v="660"/>
    <s v="Kavya Rao"/>
    <x v="3"/>
    <x v="11"/>
  </r>
  <r>
    <n v="1051"/>
    <d v="2025-02-20T00:00:00"/>
    <s v="C021"/>
    <s v="P121"/>
    <n v="1"/>
    <s v="Calculator"/>
    <x v="2"/>
    <n v="600"/>
    <n v="450"/>
    <n v="600"/>
    <n v="150"/>
    <s v="Nikhil Nair"/>
    <x v="3"/>
    <x v="12"/>
  </r>
  <r>
    <n v="1052"/>
    <d v="2025-02-21T00:00:00"/>
    <s v="C022"/>
    <s v="P122"/>
    <n v="5"/>
    <s v="USB Drive"/>
    <x v="0"/>
    <n v="900"/>
    <n v="650"/>
    <n v="4500"/>
    <n v="1250"/>
    <s v="Divya Iyer"/>
    <x v="3"/>
    <x v="13"/>
  </r>
  <r>
    <n v="1053"/>
    <d v="2025-02-22T00:00:00"/>
    <s v="C023"/>
    <s v="P123"/>
    <n v="4"/>
    <s v="Power Bank"/>
    <x v="0"/>
    <n v="1800"/>
    <n v="1400"/>
    <n v="7200"/>
    <n v="1600"/>
    <s v="Harish Kumar"/>
    <x v="3"/>
    <x v="13"/>
  </r>
  <r>
    <n v="1054"/>
    <d v="2025-02-23T00:00:00"/>
    <s v="C024"/>
    <s v="P124"/>
    <n v="3"/>
    <s v="Desk Lamp"/>
    <x v="1"/>
    <n v="2200"/>
    <n v="1700"/>
    <n v="6600"/>
    <n v="1500"/>
    <s v="Meera Pillai"/>
    <x v="3"/>
    <x v="12"/>
  </r>
  <r>
    <n v="1055"/>
    <d v="2025-02-24T00:00:00"/>
    <s v="C025"/>
    <s v="P125"/>
    <n v="2"/>
    <s v="Office Chair"/>
    <x v="1"/>
    <n v="8500"/>
    <n v="7000"/>
    <n v="17000"/>
    <n v="3000"/>
    <s v="Jay Patel"/>
    <x v="0"/>
    <x v="0"/>
  </r>
  <r>
    <n v="1056"/>
    <d v="2025-02-25T00:00:00"/>
    <s v="C026"/>
    <s v="P126"/>
    <n v="1"/>
    <s v="Whiteboard"/>
    <x v="2"/>
    <n v="2500"/>
    <n v="1900"/>
    <n v="2500"/>
    <n v="600"/>
    <s v="Krunal Shah"/>
    <x v="0"/>
    <x v="0"/>
  </r>
  <r>
    <n v="1057"/>
    <d v="2025-02-26T00:00:00"/>
    <s v="C027"/>
    <s v="P127"/>
    <n v="2"/>
    <s v="Headphones"/>
    <x v="0"/>
    <n v="3500"/>
    <n v="2800"/>
    <n v="7000"/>
    <n v="1400"/>
    <s v="Aisha Khan"/>
    <x v="1"/>
    <x v="3"/>
  </r>
  <r>
    <n v="1058"/>
    <d v="2025-02-27T00:00:00"/>
    <s v="C028"/>
    <s v="P128"/>
    <n v="1"/>
    <s v="Coffee Mug"/>
    <x v="3"/>
    <n v="350"/>
    <n v="220"/>
    <n v="350"/>
    <n v="130"/>
    <s v="Manish Verma"/>
    <x v="1"/>
    <x v="5"/>
  </r>
  <r>
    <n v="1059"/>
    <d v="2025-02-28T00:00:00"/>
    <s v="C029"/>
    <s v="P129"/>
    <n v="1"/>
    <s v="Extension Board"/>
    <x v="0"/>
    <n v="750"/>
    <n v="550"/>
    <n v="750"/>
    <n v="200"/>
    <s v="Rohan Jain"/>
    <x v="0"/>
    <x v="2"/>
  </r>
  <r>
    <n v="1060"/>
    <d v="2025-03-01T00:00:00"/>
    <s v="C030"/>
    <s v="P130"/>
    <n v="3"/>
    <s v="Mouse Pad"/>
    <x v="3"/>
    <n v="250"/>
    <n v="150"/>
    <n v="750"/>
    <n v="300"/>
    <s v="Priti Sharma"/>
    <x v="2"/>
    <x v="7"/>
  </r>
  <r>
    <n v="1061"/>
    <d v="2025-03-02T00:00:00"/>
    <s v="C001"/>
    <s v="P101"/>
    <n v="2"/>
    <s v="Laptop"/>
    <x v="0"/>
    <n v="50000"/>
    <n v="42000"/>
    <n v="100000"/>
    <n v="16000"/>
    <s v="Amit Patel"/>
    <x v="0"/>
    <x v="0"/>
  </r>
  <r>
    <n v="1062"/>
    <d v="2025-03-03T00:00:00"/>
    <s v="C002"/>
    <s v="P102"/>
    <n v="1"/>
    <s v="Mouse"/>
    <x v="0"/>
    <n v="800"/>
    <n v="500"/>
    <n v="800"/>
    <n v="300"/>
    <s v="Rahul Shah"/>
    <x v="0"/>
    <x v="0"/>
  </r>
  <r>
    <n v="1063"/>
    <d v="2025-03-04T00:00:00"/>
    <s v="C003"/>
    <s v="P103"/>
    <n v="1"/>
    <s v="Keyboard"/>
    <x v="0"/>
    <n v="1200"/>
    <n v="850"/>
    <n v="1200"/>
    <n v="350"/>
    <s v="Neha Patel"/>
    <x v="0"/>
    <x v="0"/>
  </r>
  <r>
    <n v="1064"/>
    <d v="2025-03-05T00:00:00"/>
    <s v="C004"/>
    <s v="P104"/>
    <n v="5"/>
    <s v="Monitor"/>
    <x v="0"/>
    <n v="15000"/>
    <n v="12500"/>
    <n v="75000"/>
    <n v="12500"/>
    <s v="Priya Mehta"/>
    <x v="0"/>
    <x v="1"/>
  </r>
  <r>
    <n v="1065"/>
    <d v="2025-03-06T00:00:00"/>
    <s v="C005"/>
    <s v="P105"/>
    <n v="3"/>
    <s v="Printer"/>
    <x v="0"/>
    <n v="9000"/>
    <n v="7600"/>
    <n v="27000"/>
    <n v="4200"/>
    <s v="Karan Joshi"/>
    <x v="0"/>
    <x v="1"/>
  </r>
  <r>
    <n v="1066"/>
    <d v="2025-03-07T00:00:00"/>
    <s v="C006"/>
    <s v="P106"/>
    <n v="3"/>
    <s v="Mobile"/>
    <x v="0"/>
    <n v="25000"/>
    <n v="21000"/>
    <n v="75000"/>
    <n v="12000"/>
    <s v="Riya Desai"/>
    <x v="0"/>
    <x v="2"/>
  </r>
  <r>
    <n v="1067"/>
    <d v="2025-03-08T00:00:00"/>
    <s v="C007"/>
    <s v="P107"/>
    <n v="1"/>
    <s v="Earbuds"/>
    <x v="0"/>
    <n v="2000"/>
    <n v="1500"/>
    <n v="2000"/>
    <n v="500"/>
    <s v="Mohit Singh"/>
    <x v="1"/>
    <x v="3"/>
  </r>
  <r>
    <n v="1068"/>
    <d v="2025-03-09T00:00:00"/>
    <s v="C008"/>
    <s v="P108"/>
    <n v="1"/>
    <s v="Smart Watch"/>
    <x v="0"/>
    <n v="6000"/>
    <n v="5000"/>
    <n v="6000"/>
    <n v="1000"/>
    <s v="Anjali Verma"/>
    <x v="1"/>
    <x v="3"/>
  </r>
  <r>
    <n v="1069"/>
    <d v="2025-03-10T00:00:00"/>
    <s v="C009"/>
    <s v="P109"/>
    <n v="5"/>
    <s v="Chair"/>
    <x v="1"/>
    <n v="3500"/>
    <n v="2800"/>
    <n v="17500"/>
    <n v="3500"/>
    <s v="Rohit Kumar"/>
    <x v="1"/>
    <x v="4"/>
  </r>
  <r>
    <n v="1070"/>
    <d v="2025-03-11T00:00:00"/>
    <s v="C010"/>
    <s v="P110"/>
    <n v="5"/>
    <s v="Table"/>
    <x v="1"/>
    <n v="7000"/>
    <n v="5800"/>
    <n v="35000"/>
    <n v="6000"/>
    <s v="Simran Kaur"/>
    <x v="1"/>
    <x v="4"/>
  </r>
  <r>
    <n v="1071"/>
    <d v="2025-03-12T00:00:00"/>
    <s v="C011"/>
    <s v="P111"/>
    <n v="3"/>
    <s v="Sofa"/>
    <x v="1"/>
    <n v="25000"/>
    <n v="21000"/>
    <n v="75000"/>
    <n v="12000"/>
    <s v="Arjun Sharma"/>
    <x v="1"/>
    <x v="5"/>
  </r>
  <r>
    <n v="1072"/>
    <d v="2025-03-13T00:00:00"/>
    <s v="C012"/>
    <s v="P112"/>
    <n v="5"/>
    <s v="Cupboard"/>
    <x v="1"/>
    <n v="18000"/>
    <n v="15000"/>
    <n v="90000"/>
    <n v="15000"/>
    <s v="Sneha Gupta"/>
    <x v="1"/>
    <x v="6"/>
  </r>
  <r>
    <n v="1073"/>
    <d v="2025-03-14T00:00:00"/>
    <s v="C013"/>
    <s v="P113"/>
    <n v="2"/>
    <s v="Bed"/>
    <x v="1"/>
    <n v="30000"/>
    <n v="25500"/>
    <n v="60000"/>
    <n v="9000"/>
    <s v="Vivek Yadav"/>
    <x v="1"/>
    <x v="6"/>
  </r>
  <r>
    <n v="1074"/>
    <d v="2025-03-15T00:00:00"/>
    <s v="C014"/>
    <s v="P114"/>
    <n v="1"/>
    <s v="Notebook"/>
    <x v="2"/>
    <n v="80"/>
    <n v="50"/>
    <n v="80"/>
    <n v="30"/>
    <s v="Pooja Mishra"/>
    <x v="2"/>
    <x v="7"/>
  </r>
  <r>
    <n v="1075"/>
    <d v="2025-03-16T00:00:00"/>
    <s v="C015"/>
    <s v="P115"/>
    <n v="4"/>
    <s v="Pen"/>
    <x v="2"/>
    <n v="20"/>
    <n v="10"/>
    <n v="80"/>
    <n v="40"/>
    <s v="Rajesh Das"/>
    <x v="2"/>
    <x v="8"/>
  </r>
  <r>
    <n v="1076"/>
    <d v="2025-03-17T00:00:00"/>
    <s v="C016"/>
    <s v="P116"/>
    <n v="2"/>
    <s v="Marker"/>
    <x v="2"/>
    <n v="40"/>
    <n v="25"/>
    <n v="80"/>
    <n v="30"/>
    <s v="Suman Roy"/>
    <x v="2"/>
    <x v="8"/>
  </r>
  <r>
    <n v="1077"/>
    <d v="2025-03-18T00:00:00"/>
    <s v="C017"/>
    <s v="P117"/>
    <n v="3"/>
    <s v="File Folder"/>
    <x v="2"/>
    <n v="120"/>
    <n v="80"/>
    <n v="360"/>
    <n v="120"/>
    <s v="Ankita Ghosh"/>
    <x v="2"/>
    <x v="9"/>
  </r>
  <r>
    <n v="1078"/>
    <d v="2025-03-19T00:00:00"/>
    <s v="C018"/>
    <s v="P118"/>
    <n v="3"/>
    <s v="Backpack"/>
    <x v="3"/>
    <n v="1500"/>
    <n v="1100"/>
    <n v="4500"/>
    <n v="1200"/>
    <s v="Deepak Nayak"/>
    <x v="2"/>
    <x v="9"/>
  </r>
  <r>
    <n v="1079"/>
    <d v="2025-03-20T00:00:00"/>
    <s v="C019"/>
    <s v="P119"/>
    <n v="1"/>
    <s v="Water Bottle"/>
    <x v="3"/>
    <n v="500"/>
    <n v="320"/>
    <n v="500"/>
    <n v="180"/>
    <s v="Suresh Reddy"/>
    <x v="3"/>
    <x v="10"/>
  </r>
  <r>
    <n v="1080"/>
    <d v="2025-03-21T00:00:00"/>
    <s v="C020"/>
    <s v="P120"/>
    <n v="2"/>
    <s v="Lunch Box"/>
    <x v="3"/>
    <n v="700"/>
    <n v="480"/>
    <n v="1400"/>
    <n v="440"/>
    <s v="Kavya Rao"/>
    <x v="3"/>
    <x v="11"/>
  </r>
  <r>
    <n v="1081"/>
    <d v="2025-03-22T00:00:00"/>
    <s v="C021"/>
    <s v="P121"/>
    <n v="4"/>
    <s v="Calculator"/>
    <x v="2"/>
    <n v="600"/>
    <n v="450"/>
    <n v="2400"/>
    <n v="600"/>
    <s v="Nikhil Nair"/>
    <x v="3"/>
    <x v="12"/>
  </r>
  <r>
    <n v="1082"/>
    <d v="2025-03-23T00:00:00"/>
    <s v="C022"/>
    <s v="P122"/>
    <n v="1"/>
    <s v="USB Drive"/>
    <x v="0"/>
    <n v="900"/>
    <n v="650"/>
    <n v="900"/>
    <n v="250"/>
    <s v="Divya Iyer"/>
    <x v="3"/>
    <x v="13"/>
  </r>
  <r>
    <n v="1083"/>
    <d v="2025-03-24T00:00:00"/>
    <s v="C023"/>
    <s v="P123"/>
    <n v="4"/>
    <s v="Power Bank"/>
    <x v="0"/>
    <n v="1800"/>
    <n v="1400"/>
    <n v="7200"/>
    <n v="1600"/>
    <s v="Harish Kumar"/>
    <x v="3"/>
    <x v="13"/>
  </r>
  <r>
    <n v="1084"/>
    <d v="2025-03-25T00:00:00"/>
    <s v="C024"/>
    <s v="P124"/>
    <n v="5"/>
    <s v="Desk Lamp"/>
    <x v="1"/>
    <n v="2200"/>
    <n v="1700"/>
    <n v="11000"/>
    <n v="2500"/>
    <s v="Meera Pillai"/>
    <x v="3"/>
    <x v="12"/>
  </r>
  <r>
    <n v="1085"/>
    <d v="2025-03-26T00:00:00"/>
    <s v="C025"/>
    <s v="P125"/>
    <n v="2"/>
    <s v="Office Chair"/>
    <x v="1"/>
    <n v="8500"/>
    <n v="7000"/>
    <n v="17000"/>
    <n v="3000"/>
    <s v="Jay Patel"/>
    <x v="0"/>
    <x v="0"/>
  </r>
  <r>
    <n v="1086"/>
    <d v="2025-03-27T00:00:00"/>
    <s v="C026"/>
    <s v="P126"/>
    <n v="5"/>
    <s v="Whiteboard"/>
    <x v="2"/>
    <n v="2500"/>
    <n v="1900"/>
    <n v="12500"/>
    <n v="3000"/>
    <s v="Krunal Shah"/>
    <x v="0"/>
    <x v="0"/>
  </r>
  <r>
    <n v="1087"/>
    <d v="2025-03-28T00:00:00"/>
    <s v="C027"/>
    <s v="P127"/>
    <n v="4"/>
    <s v="Headphones"/>
    <x v="0"/>
    <n v="3500"/>
    <n v="2800"/>
    <n v="14000"/>
    <n v="2800"/>
    <s v="Aisha Khan"/>
    <x v="1"/>
    <x v="3"/>
  </r>
  <r>
    <n v="1088"/>
    <d v="2025-03-29T00:00:00"/>
    <s v="C028"/>
    <s v="P128"/>
    <n v="3"/>
    <s v="Coffee Mug"/>
    <x v="3"/>
    <n v="350"/>
    <n v="220"/>
    <n v="1050"/>
    <n v="390"/>
    <s v="Manish Verma"/>
    <x v="1"/>
    <x v="5"/>
  </r>
  <r>
    <n v="1089"/>
    <d v="2025-03-30T00:00:00"/>
    <s v="C029"/>
    <s v="P129"/>
    <n v="2"/>
    <s v="Extension Board"/>
    <x v="0"/>
    <n v="750"/>
    <n v="550"/>
    <n v="1500"/>
    <n v="400"/>
    <s v="Rohan Jain"/>
    <x v="0"/>
    <x v="2"/>
  </r>
  <r>
    <n v="1090"/>
    <d v="2025-03-31T00:00:00"/>
    <s v="C030"/>
    <s v="P130"/>
    <n v="4"/>
    <s v="Mouse Pad"/>
    <x v="3"/>
    <n v="250"/>
    <n v="150"/>
    <n v="1000"/>
    <n v="400"/>
    <s v="Priti Sharma"/>
    <x v="2"/>
    <x v="7"/>
  </r>
  <r>
    <n v="1091"/>
    <d v="2025-04-01T00:00:00"/>
    <s v="C001"/>
    <s v="P101"/>
    <n v="3"/>
    <s v="Laptop"/>
    <x v="0"/>
    <n v="50000"/>
    <n v="42000"/>
    <n v="150000"/>
    <n v="24000"/>
    <s v="Amit Patel"/>
    <x v="0"/>
    <x v="0"/>
  </r>
  <r>
    <n v="1092"/>
    <d v="2025-04-02T00:00:00"/>
    <s v="C002"/>
    <s v="P102"/>
    <n v="1"/>
    <s v="Mouse"/>
    <x v="0"/>
    <n v="800"/>
    <n v="500"/>
    <n v="800"/>
    <n v="300"/>
    <s v="Rahul Shah"/>
    <x v="0"/>
    <x v="0"/>
  </r>
  <r>
    <n v="1093"/>
    <d v="2025-04-03T00:00:00"/>
    <s v="C003"/>
    <s v="P103"/>
    <n v="2"/>
    <s v="Keyboard"/>
    <x v="0"/>
    <n v="1200"/>
    <n v="850"/>
    <n v="2400"/>
    <n v="700"/>
    <s v="Neha Patel"/>
    <x v="0"/>
    <x v="0"/>
  </r>
  <r>
    <n v="1094"/>
    <d v="2025-04-04T00:00:00"/>
    <s v="C004"/>
    <s v="P104"/>
    <n v="4"/>
    <s v="Monitor"/>
    <x v="0"/>
    <n v="15000"/>
    <n v="12500"/>
    <n v="60000"/>
    <n v="10000"/>
    <s v="Priya Mehta"/>
    <x v="0"/>
    <x v="1"/>
  </r>
  <r>
    <n v="1095"/>
    <d v="2025-04-05T00:00:00"/>
    <s v="C005"/>
    <s v="P105"/>
    <n v="4"/>
    <s v="Printer"/>
    <x v="0"/>
    <n v="9000"/>
    <n v="7600"/>
    <n v="36000"/>
    <n v="5600"/>
    <s v="Karan Joshi"/>
    <x v="0"/>
    <x v="1"/>
  </r>
  <r>
    <n v="1096"/>
    <d v="2025-04-06T00:00:00"/>
    <s v="C006"/>
    <s v="P106"/>
    <n v="3"/>
    <s v="Mobile"/>
    <x v="0"/>
    <n v="25000"/>
    <n v="21000"/>
    <n v="75000"/>
    <n v="12000"/>
    <s v="Riya Desai"/>
    <x v="0"/>
    <x v="2"/>
  </r>
  <r>
    <n v="1097"/>
    <d v="2025-04-07T00:00:00"/>
    <s v="C007"/>
    <s v="P107"/>
    <n v="1"/>
    <s v="Earbuds"/>
    <x v="0"/>
    <n v="2000"/>
    <n v="1500"/>
    <n v="2000"/>
    <n v="500"/>
    <s v="Mohit Singh"/>
    <x v="1"/>
    <x v="3"/>
  </r>
  <r>
    <n v="1098"/>
    <d v="2025-04-08T00:00:00"/>
    <s v="C008"/>
    <s v="P108"/>
    <n v="1"/>
    <s v="Smart Watch"/>
    <x v="0"/>
    <n v="6000"/>
    <n v="5000"/>
    <n v="6000"/>
    <n v="1000"/>
    <s v="Anjali Verma"/>
    <x v="1"/>
    <x v="3"/>
  </r>
  <r>
    <n v="1099"/>
    <d v="2025-04-09T00:00:00"/>
    <s v="C009"/>
    <s v="P109"/>
    <n v="5"/>
    <s v="Chair"/>
    <x v="1"/>
    <n v="3500"/>
    <n v="2800"/>
    <n v="17500"/>
    <n v="3500"/>
    <s v="Rohit Kumar"/>
    <x v="1"/>
    <x v="4"/>
  </r>
  <r>
    <n v="1100"/>
    <d v="2025-04-10T00:00:00"/>
    <s v="C010"/>
    <s v="P110"/>
    <n v="4"/>
    <s v="Table"/>
    <x v="1"/>
    <n v="7000"/>
    <n v="5800"/>
    <n v="28000"/>
    <n v="4800"/>
    <s v="Simran Kaur"/>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C833B-06E9-47E2-8C51-62BAD0AF37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e">
  <location ref="L5:M20" firstHeaderRow="1" firstDataRow="1" firstDataCol="1"/>
  <pivotFields count="14">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items count="5">
        <item x="2"/>
        <item x="1"/>
        <item x="3"/>
        <item x="0"/>
        <item t="default"/>
      </items>
    </pivotField>
    <pivotField axis="axisRow" showAll="0">
      <items count="15">
        <item x="7"/>
        <item x="3"/>
        <item x="0"/>
        <item x="5"/>
        <item x="11"/>
        <item x="12"/>
        <item x="1"/>
        <item x="9"/>
        <item x="4"/>
        <item x="2"/>
        <item x="13"/>
        <item x="10"/>
        <item x="6"/>
        <item x="8"/>
        <item t="default"/>
      </items>
    </pivotField>
  </pivotFields>
  <rowFields count="1">
    <field x="13"/>
  </rowFields>
  <rowItems count="15">
    <i>
      <x/>
    </i>
    <i>
      <x v="1"/>
    </i>
    <i>
      <x v="2"/>
    </i>
    <i>
      <x v="3"/>
    </i>
    <i>
      <x v="4"/>
    </i>
    <i>
      <x v="5"/>
    </i>
    <i>
      <x v="6"/>
    </i>
    <i>
      <x v="7"/>
    </i>
    <i>
      <x v="8"/>
    </i>
    <i>
      <x v="9"/>
    </i>
    <i>
      <x v="10"/>
    </i>
    <i>
      <x v="11"/>
    </i>
    <i>
      <x v="12"/>
    </i>
    <i>
      <x v="13"/>
    </i>
    <i t="grand">
      <x/>
    </i>
  </rowItems>
  <colItems count="1">
    <i/>
  </colItems>
  <dataFields count="1">
    <dataField name="Sum of Sales" fld="9" baseField="0" baseItem="0" numFmtId="43"/>
  </dataFields>
  <formats count="13">
    <format dxfId="90">
      <pivotArea outline="0" collapsedLevelsAreSubtotals="1" fieldPosition="0"/>
    </format>
    <format dxfId="89">
      <pivotArea type="all" dataOnly="0" outline="0" fieldPosition="0"/>
    </format>
    <format dxfId="88">
      <pivotArea outline="0" collapsedLevelsAreSubtotals="1" fieldPosition="0"/>
    </format>
    <format dxfId="87">
      <pivotArea field="13" type="button" dataOnly="0" labelOnly="1" outline="0" axis="axisRow" fieldPosition="0"/>
    </format>
    <format dxfId="86">
      <pivotArea dataOnly="0" labelOnly="1" fieldPosition="0">
        <references count="1">
          <reference field="13"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3" type="button" dataOnly="0" labelOnly="1" outline="0" axis="axisRow" fieldPosition="0"/>
    </format>
    <format dxfId="80">
      <pivotArea dataOnly="0" labelOnly="1" fieldPosition="0">
        <references count="1">
          <reference field="13" count="0"/>
        </references>
      </pivotArea>
    </format>
    <format dxfId="79">
      <pivotArea dataOnly="0" labelOnly="1" grandRow="1" outline="0" fieldPosition="0"/>
    </format>
    <format dxfId="7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25686-AB98-4047-B3D8-8B9D257645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F5:G10" firstHeaderRow="1" firstDataRow="1" firstDataCol="1"/>
  <pivotFields count="14">
    <pivotField showAll="0"/>
    <pivotField numFmtId="14" showAll="0"/>
    <pivotField showAll="0"/>
    <pivotField showAll="0"/>
    <pivotField showAll="0"/>
    <pivotField showAll="0"/>
    <pivotField axis="axisRow" showAll="0">
      <items count="5">
        <item x="3"/>
        <item x="0"/>
        <item x="1"/>
        <item x="2"/>
        <item t="default"/>
      </items>
    </pivotField>
    <pivotField showAll="0"/>
    <pivotField showAll="0"/>
    <pivotField dataField="1" showAll="0"/>
    <pivotField showAll="0"/>
    <pivotField showAll="0"/>
    <pivotField showAll="0">
      <items count="5">
        <item x="2"/>
        <item x="1"/>
        <item x="3"/>
        <item x="0"/>
        <item t="default"/>
      </items>
    </pivotField>
    <pivotField showAll="0"/>
  </pivotFields>
  <rowFields count="1">
    <field x="6"/>
  </rowFields>
  <rowItems count="5">
    <i>
      <x/>
    </i>
    <i>
      <x v="1"/>
    </i>
    <i>
      <x v="2"/>
    </i>
    <i>
      <x v="3"/>
    </i>
    <i t="grand">
      <x/>
    </i>
  </rowItems>
  <colItems count="1">
    <i/>
  </colItems>
  <dataFields count="1">
    <dataField name="Sum of Sales" fld="9" baseField="0" baseItem="0" numFmtId="43"/>
  </dataFields>
  <formats count="13">
    <format dxfId="103">
      <pivotArea outline="0" collapsedLevelsAreSubtotals="1" fieldPosition="0"/>
    </format>
    <format dxfId="102">
      <pivotArea type="all" dataOnly="0" outline="0" fieldPosition="0"/>
    </format>
    <format dxfId="101">
      <pivotArea outline="0" collapsedLevelsAreSubtotals="1"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grandRow="1" outline="0"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grandRow="1" outline="0" fieldPosition="0"/>
    </format>
    <format dxfId="9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1" format="9">
      <pivotArea type="data" outline="0" fieldPosition="0">
        <references count="2">
          <reference field="4294967294" count="1" selected="0">
            <x v="0"/>
          </reference>
          <reference field="6" count="1" selected="0">
            <x v="2"/>
          </reference>
        </references>
      </pivotArea>
    </chartFormat>
    <chartFormat chart="1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4E765-320B-44F5-A626-3E6EE0CA3A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I5:J10" firstHeaderRow="1" firstDataRow="1" firstDataCol="1"/>
  <pivotFields count="14">
    <pivotField showAll="0"/>
    <pivotField numFmtId="14" showAll="0"/>
    <pivotField showAll="0"/>
    <pivotField showAll="0"/>
    <pivotField showAll="0"/>
    <pivotField showAll="0"/>
    <pivotField axis="axisRow" showAll="0">
      <items count="5">
        <item x="3"/>
        <item x="0"/>
        <item x="1"/>
        <item x="2"/>
        <item t="default"/>
      </items>
    </pivotField>
    <pivotField showAll="0"/>
    <pivotField showAll="0"/>
    <pivotField showAll="0"/>
    <pivotField dataField="1" showAll="0"/>
    <pivotField showAll="0"/>
    <pivotField showAll="0">
      <items count="5">
        <item x="2"/>
        <item x="1"/>
        <item x="3"/>
        <item x="0"/>
        <item t="default"/>
      </items>
    </pivotField>
    <pivotField showAll="0"/>
  </pivotFields>
  <rowFields count="1">
    <field x="6"/>
  </rowFields>
  <rowItems count="5">
    <i>
      <x/>
    </i>
    <i>
      <x v="1"/>
    </i>
    <i>
      <x v="2"/>
    </i>
    <i>
      <x v="3"/>
    </i>
    <i t="grand">
      <x/>
    </i>
  </rowItems>
  <colItems count="1">
    <i/>
  </colItems>
  <dataFields count="1">
    <dataField name="Sum of Profit" fld="10" baseField="0" baseItem="0"/>
  </dataFields>
  <formats count="13">
    <format dxfId="116">
      <pivotArea collapsedLevelsAreSubtotals="1" fieldPosition="0">
        <references count="1">
          <reference field="6" count="0"/>
        </references>
      </pivotArea>
    </format>
    <format dxfId="115">
      <pivotArea type="all" dataOnly="0" outline="0" fieldPosition="0"/>
    </format>
    <format dxfId="114">
      <pivotArea outline="0" collapsedLevelsAreSubtotals="1" fieldPosition="0"/>
    </format>
    <format dxfId="113">
      <pivotArea field="6" type="button" dataOnly="0" labelOnly="1" outline="0" axis="axisRow" fieldPosition="0"/>
    </format>
    <format dxfId="112">
      <pivotArea dataOnly="0" labelOnly="1" fieldPosition="0">
        <references count="1">
          <reference field="6"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6" type="button" dataOnly="0" labelOnly="1" outline="0" axis="axisRow" fieldPosition="0"/>
    </format>
    <format dxfId="106">
      <pivotArea dataOnly="0" labelOnly="1" fieldPosition="0">
        <references count="1">
          <reference field="6" count="0"/>
        </references>
      </pivotArea>
    </format>
    <format dxfId="105">
      <pivotArea dataOnly="0" labelOnly="1" grandRow="1" outline="0" fieldPosition="0"/>
    </format>
    <format dxfId="10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11FF62-8E97-4B4C-94AF-6D81D3DD238A}" sourceName="Region">
  <pivotTables>
    <pivotTable tabId="4" name="PivotTable1"/>
    <pivotTable tabId="4" name="PivotTable2"/>
    <pivotTable tabId="4" name="PivotTable3"/>
  </pivotTables>
  <data>
    <tabular pivotCacheId="209614475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2BBABE-7432-4EE3-A9F7-DF3E8A58AD6A}" cache="Slicer_Region" caption="Region" columnCount="4"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C58E1-ABEF-484D-90A1-B6D8F0CE5273}" name="Table1" displayName="Table1" ref="A1:E31" totalsRowShown="0" headerRowDxfId="145" dataDxfId="144">
  <autoFilter ref="A1:E31" xr:uid="{01EC58E1-ABEF-484D-90A1-B6D8F0CE5273}"/>
  <tableColumns count="5">
    <tableColumn id="1" xr3:uid="{A9D1F119-4EB5-4FE9-9789-E088213E1419}" name="Product ID" dataDxfId="143"/>
    <tableColumn id="2" xr3:uid="{28565307-3E96-42F4-9318-741F59C538D4}" name="Product Name" dataDxfId="142"/>
    <tableColumn id="3" xr3:uid="{292C93EA-6D92-4302-8880-6D922F7C61D1}" name="Category" dataDxfId="141"/>
    <tableColumn id="4" xr3:uid="{69072733-17DD-4809-8FFD-093F8C5B93E5}" name="Unit Price" dataDxfId="140"/>
    <tableColumn id="5" xr3:uid="{118C1C3B-6347-4F7F-823D-6A35399237A1}" name="Cost Price" dataDxfId="1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628ACE-6627-4E1C-8EFA-E005BFA73A7B}" name="Table2" displayName="Table2" ref="A1:D31" totalsRowShown="0" headerRowDxfId="138" dataDxfId="137">
  <autoFilter ref="A1:D31" xr:uid="{B5628ACE-6627-4E1C-8EFA-E005BFA73A7B}"/>
  <tableColumns count="4">
    <tableColumn id="1" xr3:uid="{FA13CEDA-51EE-4D54-9CB5-3582A982CED2}" name="Customer ID" dataDxfId="136"/>
    <tableColumn id="2" xr3:uid="{CBF3624B-93B5-4D2B-AB67-7DF7BFE89A7B}" name="Customer Name" dataDxfId="135"/>
    <tableColumn id="3" xr3:uid="{E5DE504B-10A1-4B60-B20F-F7B6249A445B}" name="Region" dataDxfId="134"/>
    <tableColumn id="4" xr3:uid="{043931FD-DE04-4E9B-8BD8-9C5F41582F6D}" name="State" dataDxfId="1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F0A0B-A964-45F7-9308-922D2EF1632B}" name="Table3" displayName="Table3" ref="A1:N101" totalsRowShown="0" headerRowDxfId="132" dataDxfId="131">
  <autoFilter ref="A1:N101" xr:uid="{03DF0A0B-A964-45F7-9308-922D2EF1632B}"/>
  <tableColumns count="14">
    <tableColumn id="1" xr3:uid="{1FA70A20-FF4F-484B-B2F4-8996513B5E99}" name="Order ID" dataDxfId="130"/>
    <tableColumn id="2" xr3:uid="{0B41E9C6-A2C6-4C1F-8548-40F3A7E9685A}" name="Order Date" dataDxfId="129"/>
    <tableColumn id="3" xr3:uid="{8FF2A0A1-83F4-4EDD-B914-204390F0DA26}" name="Customer ID" dataDxfId="128"/>
    <tableColumn id="4" xr3:uid="{A4F364A3-137A-48E4-8B46-26B9E89AE016}" name="Product ID" dataDxfId="127"/>
    <tableColumn id="5" xr3:uid="{FDB732C8-D2E6-4F10-A83F-8A6FD82003DD}" name="Quantity" dataDxfId="126"/>
    <tableColumn id="6" xr3:uid="{56BBD32C-1B87-40FF-90CE-2048B484ACB2}" name="Product Name" dataDxfId="125">
      <calculatedColumnFormula>VLOOKUP(D2,Table1[#All],2,0)</calculatedColumnFormula>
    </tableColumn>
    <tableColumn id="7" xr3:uid="{B19C615C-823C-443C-BB3B-B9A2041BADFD}" name="Category" dataDxfId="124">
      <calculatedColumnFormula>VLOOKUP(D2,Table1[#All],3,0)</calculatedColumnFormula>
    </tableColumn>
    <tableColumn id="8" xr3:uid="{D6E891BD-3A4B-43E4-A983-75D6579D33D2}" name="Unit Price" dataDxfId="123">
      <calculatedColumnFormula>VLOOKUP(D2,Table1[#All],4,)</calculatedColumnFormula>
    </tableColumn>
    <tableColumn id="9" xr3:uid="{1F769671-4CA2-418F-BD09-7F1A5675B3D9}" name="Cost Price" dataDxfId="122">
      <calculatedColumnFormula>VLOOKUP(D2,Table1[#All],5,)</calculatedColumnFormula>
    </tableColumn>
    <tableColumn id="10" xr3:uid="{BD19A221-C62F-42F6-920A-23816C430232}" name="Sales" dataDxfId="121">
      <calculatedColumnFormula>PRODUCT(H2,E2)</calculatedColumnFormula>
    </tableColumn>
    <tableColumn id="11" xr3:uid="{F0952330-D1E4-44BA-80A5-B89089FD3BEF}" name="Profit" dataDxfId="120">
      <calculatedColumnFormula>J2-(I2*E2)</calculatedColumnFormula>
    </tableColumn>
    <tableColumn id="12" xr3:uid="{A91DAA13-0348-4351-9C77-1ACE7272D773}" name="Customer Name" dataDxfId="119">
      <calculatedColumnFormula>VLOOKUP(C2,Table2[#All],2,)</calculatedColumnFormula>
    </tableColumn>
    <tableColumn id="13" xr3:uid="{569A7668-7759-464E-9210-54B5C826A303}" name="Region" dataDxfId="118">
      <calculatedColumnFormula>VLOOKUP(C2,Table2[#All],3,)</calculatedColumnFormula>
    </tableColumn>
    <tableColumn id="14" xr3:uid="{4C210C86-0E59-4EFF-A75C-ACD1C1F523F2}" name="State" dataDxfId="117">
      <calculatedColumnFormula>VLOOKUP(C2,Table2[#All],4,)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DB63-D3D2-450E-A068-7515FC9CC3D8}">
  <dimension ref="A1:E31"/>
  <sheetViews>
    <sheetView workbookViewId="0">
      <selection activeCell="J14" sqref="J14"/>
    </sheetView>
  </sheetViews>
  <sheetFormatPr defaultRowHeight="14.5" x14ac:dyDescent="0.35"/>
  <cols>
    <col min="1" max="1" width="11.54296875" customWidth="1"/>
    <col min="2" max="2" width="14.6328125" customWidth="1"/>
    <col min="3" max="3" width="12.36328125" customWidth="1"/>
    <col min="4" max="4" width="11" customWidth="1"/>
    <col min="5" max="5" width="11.26953125" customWidth="1"/>
  </cols>
  <sheetData>
    <row r="1" spans="1:5" x14ac:dyDescent="0.35">
      <c r="A1" s="1" t="s">
        <v>0</v>
      </c>
      <c r="B1" s="1" t="s">
        <v>1</v>
      </c>
      <c r="C1" s="1" t="s">
        <v>2</v>
      </c>
      <c r="D1" s="3" t="s">
        <v>3</v>
      </c>
      <c r="E1" s="3" t="s">
        <v>4</v>
      </c>
    </row>
    <row r="2" spans="1:5" x14ac:dyDescent="0.35">
      <c r="A2" s="4" t="s">
        <v>13</v>
      </c>
      <c r="B2" s="4" t="s">
        <v>14</v>
      </c>
      <c r="C2" s="4" t="s">
        <v>15</v>
      </c>
      <c r="D2" s="2">
        <v>50000</v>
      </c>
      <c r="E2" s="2">
        <v>42000</v>
      </c>
    </row>
    <row r="3" spans="1:5" x14ac:dyDescent="0.35">
      <c r="A3" s="4" t="s">
        <v>16</v>
      </c>
      <c r="B3" s="4" t="s">
        <v>17</v>
      </c>
      <c r="C3" s="4" t="s">
        <v>15</v>
      </c>
      <c r="D3" s="2">
        <v>800</v>
      </c>
      <c r="E3" s="2">
        <v>500</v>
      </c>
    </row>
    <row r="4" spans="1:5" x14ac:dyDescent="0.35">
      <c r="A4" s="4" t="s">
        <v>18</v>
      </c>
      <c r="B4" s="4" t="s">
        <v>19</v>
      </c>
      <c r="C4" s="4" t="s">
        <v>15</v>
      </c>
      <c r="D4" s="2">
        <v>1200</v>
      </c>
      <c r="E4" s="2">
        <v>850</v>
      </c>
    </row>
    <row r="5" spans="1:5" x14ac:dyDescent="0.35">
      <c r="A5" s="4" t="s">
        <v>20</v>
      </c>
      <c r="B5" s="4" t="s">
        <v>21</v>
      </c>
      <c r="C5" s="4" t="s">
        <v>15</v>
      </c>
      <c r="D5" s="2">
        <v>15000</v>
      </c>
      <c r="E5" s="2">
        <v>12500</v>
      </c>
    </row>
    <row r="6" spans="1:5" x14ac:dyDescent="0.35">
      <c r="A6" s="4" t="s">
        <v>22</v>
      </c>
      <c r="B6" s="4" t="s">
        <v>23</v>
      </c>
      <c r="C6" s="4" t="s">
        <v>15</v>
      </c>
      <c r="D6" s="2">
        <v>9000</v>
      </c>
      <c r="E6" s="2">
        <v>7600</v>
      </c>
    </row>
    <row r="7" spans="1:5" x14ac:dyDescent="0.35">
      <c r="A7" s="4" t="s">
        <v>24</v>
      </c>
      <c r="B7" s="4" t="s">
        <v>25</v>
      </c>
      <c r="C7" s="4" t="s">
        <v>15</v>
      </c>
      <c r="D7" s="2">
        <v>25000</v>
      </c>
      <c r="E7" s="2">
        <v>21000</v>
      </c>
    </row>
    <row r="8" spans="1:5" x14ac:dyDescent="0.35">
      <c r="A8" s="4" t="s">
        <v>26</v>
      </c>
      <c r="B8" s="4" t="s">
        <v>27</v>
      </c>
      <c r="C8" s="4" t="s">
        <v>15</v>
      </c>
      <c r="D8" s="2">
        <v>2000</v>
      </c>
      <c r="E8" s="2">
        <v>1500</v>
      </c>
    </row>
    <row r="9" spans="1:5" x14ac:dyDescent="0.35">
      <c r="A9" s="4" t="s">
        <v>28</v>
      </c>
      <c r="B9" s="4" t="s">
        <v>29</v>
      </c>
      <c r="C9" s="4" t="s">
        <v>15</v>
      </c>
      <c r="D9" s="2">
        <v>6000</v>
      </c>
      <c r="E9" s="2">
        <v>5000</v>
      </c>
    </row>
    <row r="10" spans="1:5" x14ac:dyDescent="0.35">
      <c r="A10" s="4" t="s">
        <v>30</v>
      </c>
      <c r="B10" s="4" t="s">
        <v>31</v>
      </c>
      <c r="C10" s="4" t="s">
        <v>32</v>
      </c>
      <c r="D10" s="2">
        <v>3500</v>
      </c>
      <c r="E10" s="2">
        <v>2800</v>
      </c>
    </row>
    <row r="11" spans="1:5" x14ac:dyDescent="0.35">
      <c r="A11" s="4" t="s">
        <v>33</v>
      </c>
      <c r="B11" s="4" t="s">
        <v>34</v>
      </c>
      <c r="C11" s="4" t="s">
        <v>32</v>
      </c>
      <c r="D11" s="2">
        <v>7000</v>
      </c>
      <c r="E11" s="2">
        <v>5800</v>
      </c>
    </row>
    <row r="12" spans="1:5" x14ac:dyDescent="0.35">
      <c r="A12" s="4" t="s">
        <v>35</v>
      </c>
      <c r="B12" s="4" t="s">
        <v>36</v>
      </c>
      <c r="C12" s="4" t="s">
        <v>32</v>
      </c>
      <c r="D12" s="2">
        <v>25000</v>
      </c>
      <c r="E12" s="2">
        <v>21000</v>
      </c>
    </row>
    <row r="13" spans="1:5" x14ac:dyDescent="0.35">
      <c r="A13" s="4" t="s">
        <v>37</v>
      </c>
      <c r="B13" s="4" t="s">
        <v>38</v>
      </c>
      <c r="C13" s="4" t="s">
        <v>32</v>
      </c>
      <c r="D13" s="2">
        <v>18000</v>
      </c>
      <c r="E13" s="2">
        <v>15000</v>
      </c>
    </row>
    <row r="14" spans="1:5" x14ac:dyDescent="0.35">
      <c r="A14" s="4" t="s">
        <v>39</v>
      </c>
      <c r="B14" s="4" t="s">
        <v>40</v>
      </c>
      <c r="C14" s="4" t="s">
        <v>32</v>
      </c>
      <c r="D14" s="2">
        <v>30000</v>
      </c>
      <c r="E14" s="2">
        <v>25500</v>
      </c>
    </row>
    <row r="15" spans="1:5" x14ac:dyDescent="0.35">
      <c r="A15" s="4" t="s">
        <v>41</v>
      </c>
      <c r="B15" s="4" t="s">
        <v>42</v>
      </c>
      <c r="C15" s="4" t="s">
        <v>43</v>
      </c>
      <c r="D15" s="2">
        <v>80</v>
      </c>
      <c r="E15" s="2">
        <v>50</v>
      </c>
    </row>
    <row r="16" spans="1:5" x14ac:dyDescent="0.35">
      <c r="A16" s="4" t="s">
        <v>44</v>
      </c>
      <c r="B16" s="4" t="s">
        <v>45</v>
      </c>
      <c r="C16" s="4" t="s">
        <v>43</v>
      </c>
      <c r="D16" s="2">
        <v>20</v>
      </c>
      <c r="E16" s="2">
        <v>10</v>
      </c>
    </row>
    <row r="17" spans="1:5" x14ac:dyDescent="0.35">
      <c r="A17" s="4" t="s">
        <v>46</v>
      </c>
      <c r="B17" s="4" t="s">
        <v>47</v>
      </c>
      <c r="C17" s="4" t="s">
        <v>43</v>
      </c>
      <c r="D17" s="2">
        <v>40</v>
      </c>
      <c r="E17" s="2">
        <v>25</v>
      </c>
    </row>
    <row r="18" spans="1:5" x14ac:dyDescent="0.35">
      <c r="A18" s="4" t="s">
        <v>48</v>
      </c>
      <c r="B18" s="4" t="s">
        <v>49</v>
      </c>
      <c r="C18" s="4" t="s">
        <v>43</v>
      </c>
      <c r="D18" s="2">
        <v>120</v>
      </c>
      <c r="E18" s="2">
        <v>80</v>
      </c>
    </row>
    <row r="19" spans="1:5" ht="14.5" customHeight="1" x14ac:dyDescent="0.35">
      <c r="A19" s="4" t="s">
        <v>50</v>
      </c>
      <c r="B19" s="4" t="s">
        <v>51</v>
      </c>
      <c r="C19" s="4" t="s">
        <v>52</v>
      </c>
      <c r="D19" s="2">
        <v>1500</v>
      </c>
      <c r="E19" s="2">
        <v>1100</v>
      </c>
    </row>
    <row r="20" spans="1:5" ht="14" customHeight="1" x14ac:dyDescent="0.35">
      <c r="A20" s="4" t="s">
        <v>53</v>
      </c>
      <c r="B20" s="4" t="s">
        <v>54</v>
      </c>
      <c r="C20" s="4" t="s">
        <v>52</v>
      </c>
      <c r="D20" s="2">
        <v>500</v>
      </c>
      <c r="E20" s="2">
        <v>320</v>
      </c>
    </row>
    <row r="21" spans="1:5" ht="14" customHeight="1" x14ac:dyDescent="0.35">
      <c r="A21" s="4" t="s">
        <v>55</v>
      </c>
      <c r="B21" s="4" t="s">
        <v>56</v>
      </c>
      <c r="C21" s="4" t="s">
        <v>52</v>
      </c>
      <c r="D21" s="2">
        <v>700</v>
      </c>
      <c r="E21" s="2">
        <v>480</v>
      </c>
    </row>
    <row r="22" spans="1:5" x14ac:dyDescent="0.35">
      <c r="A22" s="4" t="s">
        <v>57</v>
      </c>
      <c r="B22" s="4" t="s">
        <v>58</v>
      </c>
      <c r="C22" s="4" t="s">
        <v>43</v>
      </c>
      <c r="D22" s="2">
        <v>600</v>
      </c>
      <c r="E22" s="2">
        <v>450</v>
      </c>
    </row>
    <row r="23" spans="1:5" x14ac:dyDescent="0.35">
      <c r="A23" s="4" t="s">
        <v>59</v>
      </c>
      <c r="B23" s="4" t="s">
        <v>60</v>
      </c>
      <c r="C23" s="4" t="s">
        <v>15</v>
      </c>
      <c r="D23" s="2">
        <v>900</v>
      </c>
      <c r="E23" s="2">
        <v>650</v>
      </c>
    </row>
    <row r="24" spans="1:5" x14ac:dyDescent="0.35">
      <c r="A24" s="4" t="s">
        <v>61</v>
      </c>
      <c r="B24" s="4" t="s">
        <v>62</v>
      </c>
      <c r="C24" s="4" t="s">
        <v>15</v>
      </c>
      <c r="D24" s="2">
        <v>1800</v>
      </c>
      <c r="E24" s="2">
        <v>1400</v>
      </c>
    </row>
    <row r="25" spans="1:5" x14ac:dyDescent="0.35">
      <c r="A25" s="4" t="s">
        <v>63</v>
      </c>
      <c r="B25" s="4" t="s">
        <v>64</v>
      </c>
      <c r="C25" s="4" t="s">
        <v>32</v>
      </c>
      <c r="D25" s="2">
        <v>2200</v>
      </c>
      <c r="E25" s="2">
        <v>1700</v>
      </c>
    </row>
    <row r="26" spans="1:5" x14ac:dyDescent="0.35">
      <c r="A26" s="4" t="s">
        <v>65</v>
      </c>
      <c r="B26" s="4" t="s">
        <v>66</v>
      </c>
      <c r="C26" s="4" t="s">
        <v>32</v>
      </c>
      <c r="D26" s="2">
        <v>8500</v>
      </c>
      <c r="E26" s="2">
        <v>7000</v>
      </c>
    </row>
    <row r="27" spans="1:5" x14ac:dyDescent="0.35">
      <c r="A27" s="4" t="s">
        <v>67</v>
      </c>
      <c r="B27" s="4" t="s">
        <v>68</v>
      </c>
      <c r="C27" s="4" t="s">
        <v>43</v>
      </c>
      <c r="D27" s="2">
        <v>2500</v>
      </c>
      <c r="E27" s="2">
        <v>1900</v>
      </c>
    </row>
    <row r="28" spans="1:5" ht="14" customHeight="1" x14ac:dyDescent="0.35">
      <c r="A28" s="4" t="s">
        <v>69</v>
      </c>
      <c r="B28" s="4" t="s">
        <v>70</v>
      </c>
      <c r="C28" s="4" t="s">
        <v>15</v>
      </c>
      <c r="D28" s="2">
        <v>3500</v>
      </c>
      <c r="E28" s="2">
        <v>2800</v>
      </c>
    </row>
    <row r="29" spans="1:5" ht="14" customHeight="1" x14ac:dyDescent="0.35">
      <c r="A29" s="4" t="s">
        <v>71</v>
      </c>
      <c r="B29" s="4" t="s">
        <v>72</v>
      </c>
      <c r="C29" s="4" t="s">
        <v>52</v>
      </c>
      <c r="D29" s="2">
        <v>350</v>
      </c>
      <c r="E29" s="2">
        <v>220</v>
      </c>
    </row>
    <row r="30" spans="1:5" x14ac:dyDescent="0.35">
      <c r="A30" s="4" t="s">
        <v>73</v>
      </c>
      <c r="B30" s="4" t="s">
        <v>74</v>
      </c>
      <c r="C30" s="4" t="s">
        <v>15</v>
      </c>
      <c r="D30" s="2">
        <v>750</v>
      </c>
      <c r="E30" s="2">
        <v>550</v>
      </c>
    </row>
    <row r="31" spans="1:5" ht="14" customHeight="1" x14ac:dyDescent="0.35">
      <c r="A31" s="4" t="s">
        <v>75</v>
      </c>
      <c r="B31" s="4" t="s">
        <v>76</v>
      </c>
      <c r="C31" s="4" t="s">
        <v>52</v>
      </c>
      <c r="D31" s="2">
        <v>250</v>
      </c>
      <c r="E31" s="2">
        <v>150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A4F8-FFDB-4F26-8C92-80FC0DF002EC}">
  <dimension ref="A1:D31"/>
  <sheetViews>
    <sheetView workbookViewId="0">
      <selection activeCell="F15" sqref="F15"/>
    </sheetView>
  </sheetViews>
  <sheetFormatPr defaultRowHeight="14.5" x14ac:dyDescent="0.35"/>
  <cols>
    <col min="1" max="1" width="13.1796875" customWidth="1"/>
    <col min="2" max="2" width="16.26953125" customWidth="1"/>
    <col min="3" max="3" width="10.90625" customWidth="1"/>
    <col min="4" max="4" width="11.54296875" customWidth="1"/>
  </cols>
  <sheetData>
    <row r="1" spans="1:4" x14ac:dyDescent="0.35">
      <c r="A1" s="1" t="s">
        <v>5</v>
      </c>
      <c r="B1" s="1" t="s">
        <v>6</v>
      </c>
      <c r="C1" s="1" t="s">
        <v>7</v>
      </c>
      <c r="D1" s="1" t="s">
        <v>8</v>
      </c>
    </row>
    <row r="2" spans="1:4" x14ac:dyDescent="0.35">
      <c r="A2" s="4" t="s">
        <v>77</v>
      </c>
      <c r="B2" s="4" t="s">
        <v>78</v>
      </c>
      <c r="C2" s="4" t="s">
        <v>79</v>
      </c>
      <c r="D2" s="4" t="s">
        <v>80</v>
      </c>
    </row>
    <row r="3" spans="1:4" x14ac:dyDescent="0.35">
      <c r="A3" s="4" t="s">
        <v>81</v>
      </c>
      <c r="B3" s="4" t="s">
        <v>82</v>
      </c>
      <c r="C3" s="4" t="s">
        <v>79</v>
      </c>
      <c r="D3" s="4" t="s">
        <v>80</v>
      </c>
    </row>
    <row r="4" spans="1:4" x14ac:dyDescent="0.35">
      <c r="A4" s="4" t="s">
        <v>83</v>
      </c>
      <c r="B4" s="4" t="s">
        <v>84</v>
      </c>
      <c r="C4" s="4" t="s">
        <v>79</v>
      </c>
      <c r="D4" s="4" t="s">
        <v>80</v>
      </c>
    </row>
    <row r="5" spans="1:4" ht="14.5" customHeight="1" x14ac:dyDescent="0.35">
      <c r="A5" s="4" t="s">
        <v>85</v>
      </c>
      <c r="B5" s="4" t="s">
        <v>86</v>
      </c>
      <c r="C5" s="4" t="s">
        <v>79</v>
      </c>
      <c r="D5" s="4" t="s">
        <v>87</v>
      </c>
    </row>
    <row r="6" spans="1:4" ht="14" customHeight="1" x14ac:dyDescent="0.35">
      <c r="A6" s="4" t="s">
        <v>88</v>
      </c>
      <c r="B6" s="4" t="s">
        <v>89</v>
      </c>
      <c r="C6" s="4" t="s">
        <v>79</v>
      </c>
      <c r="D6" s="4" t="s">
        <v>87</v>
      </c>
    </row>
    <row r="7" spans="1:4" x14ac:dyDescent="0.35">
      <c r="A7" s="4" t="s">
        <v>90</v>
      </c>
      <c r="B7" s="4" t="s">
        <v>91</v>
      </c>
      <c r="C7" s="4" t="s">
        <v>79</v>
      </c>
      <c r="D7" s="4" t="s">
        <v>92</v>
      </c>
    </row>
    <row r="8" spans="1:4" x14ac:dyDescent="0.35">
      <c r="A8" s="4" t="s">
        <v>93</v>
      </c>
      <c r="B8" s="4" t="s">
        <v>94</v>
      </c>
      <c r="C8" s="4" t="s">
        <v>95</v>
      </c>
      <c r="D8" s="4" t="s">
        <v>96</v>
      </c>
    </row>
    <row r="9" spans="1:4" x14ac:dyDescent="0.35">
      <c r="A9" s="4" t="s">
        <v>97</v>
      </c>
      <c r="B9" s="4" t="s">
        <v>98</v>
      </c>
      <c r="C9" s="4" t="s">
        <v>95</v>
      </c>
      <c r="D9" s="4" t="s">
        <v>96</v>
      </c>
    </row>
    <row r="10" spans="1:4" x14ac:dyDescent="0.35">
      <c r="A10" s="4" t="s">
        <v>99</v>
      </c>
      <c r="B10" s="4" t="s">
        <v>100</v>
      </c>
      <c r="C10" s="4" t="s">
        <v>95</v>
      </c>
      <c r="D10" s="4" t="s">
        <v>101</v>
      </c>
    </row>
    <row r="11" spans="1:4" x14ac:dyDescent="0.35">
      <c r="A11" s="4" t="s">
        <v>102</v>
      </c>
      <c r="B11" s="4" t="s">
        <v>103</v>
      </c>
      <c r="C11" s="4" t="s">
        <v>95</v>
      </c>
      <c r="D11" s="4" t="s">
        <v>101</v>
      </c>
    </row>
    <row r="12" spans="1:4" x14ac:dyDescent="0.35">
      <c r="A12" s="4" t="s">
        <v>104</v>
      </c>
      <c r="B12" s="4" t="s">
        <v>105</v>
      </c>
      <c r="C12" s="4" t="s">
        <v>95</v>
      </c>
      <c r="D12" s="4" t="s">
        <v>106</v>
      </c>
    </row>
    <row r="13" spans="1:4" ht="14" customHeight="1" x14ac:dyDescent="0.35">
      <c r="A13" s="4" t="s">
        <v>107</v>
      </c>
      <c r="B13" s="4" t="s">
        <v>108</v>
      </c>
      <c r="C13" s="4" t="s">
        <v>95</v>
      </c>
      <c r="D13" s="4" t="s">
        <v>109</v>
      </c>
    </row>
    <row r="14" spans="1:4" ht="14" customHeight="1" x14ac:dyDescent="0.35">
      <c r="A14" s="4" t="s">
        <v>110</v>
      </c>
      <c r="B14" s="4" t="s">
        <v>111</v>
      </c>
      <c r="C14" s="4" t="s">
        <v>95</v>
      </c>
      <c r="D14" s="4" t="s">
        <v>109</v>
      </c>
    </row>
    <row r="15" spans="1:4" x14ac:dyDescent="0.35">
      <c r="A15" s="4" t="s">
        <v>112</v>
      </c>
      <c r="B15" s="4" t="s">
        <v>113</v>
      </c>
      <c r="C15" s="4" t="s">
        <v>114</v>
      </c>
      <c r="D15" s="4" t="s">
        <v>115</v>
      </c>
    </row>
    <row r="16" spans="1:4" ht="14" customHeight="1" x14ac:dyDescent="0.35">
      <c r="A16" s="4" t="s">
        <v>116</v>
      </c>
      <c r="B16" s="4" t="s">
        <v>117</v>
      </c>
      <c r="C16" s="4" t="s">
        <v>114</v>
      </c>
      <c r="D16" s="4" t="s">
        <v>118</v>
      </c>
    </row>
    <row r="17" spans="1:4" ht="14" customHeight="1" x14ac:dyDescent="0.35">
      <c r="A17" s="4" t="s">
        <v>119</v>
      </c>
      <c r="B17" s="4" t="s">
        <v>120</v>
      </c>
      <c r="C17" s="4" t="s">
        <v>114</v>
      </c>
      <c r="D17" s="4" t="s">
        <v>118</v>
      </c>
    </row>
    <row r="18" spans="1:4" x14ac:dyDescent="0.35">
      <c r="A18" s="4" t="s">
        <v>121</v>
      </c>
      <c r="B18" s="4" t="s">
        <v>122</v>
      </c>
      <c r="C18" s="4" t="s">
        <v>114</v>
      </c>
      <c r="D18" s="4" t="s">
        <v>123</v>
      </c>
    </row>
    <row r="19" spans="1:4" x14ac:dyDescent="0.35">
      <c r="A19" s="4" t="s">
        <v>124</v>
      </c>
      <c r="B19" s="4" t="s">
        <v>125</v>
      </c>
      <c r="C19" s="4" t="s">
        <v>114</v>
      </c>
      <c r="D19" s="4" t="s">
        <v>123</v>
      </c>
    </row>
    <row r="20" spans="1:4" x14ac:dyDescent="0.35">
      <c r="A20" s="4" t="s">
        <v>126</v>
      </c>
      <c r="B20" s="4" t="s">
        <v>127</v>
      </c>
      <c r="C20" s="4" t="s">
        <v>128</v>
      </c>
      <c r="D20" s="4" t="s">
        <v>129</v>
      </c>
    </row>
    <row r="21" spans="1:4" x14ac:dyDescent="0.35">
      <c r="A21" s="4" t="s">
        <v>130</v>
      </c>
      <c r="B21" s="4" t="s">
        <v>131</v>
      </c>
      <c r="C21" s="4" t="s">
        <v>128</v>
      </c>
      <c r="D21" s="4" t="s">
        <v>132</v>
      </c>
    </row>
    <row r="22" spans="1:4" x14ac:dyDescent="0.35">
      <c r="A22" s="4" t="s">
        <v>133</v>
      </c>
      <c r="B22" s="4" t="s">
        <v>134</v>
      </c>
      <c r="C22" s="4" t="s">
        <v>128</v>
      </c>
      <c r="D22" s="4" t="s">
        <v>135</v>
      </c>
    </row>
    <row r="23" spans="1:4" x14ac:dyDescent="0.35">
      <c r="A23" s="4" t="s">
        <v>136</v>
      </c>
      <c r="B23" s="4" t="s">
        <v>137</v>
      </c>
      <c r="C23" s="4" t="s">
        <v>128</v>
      </c>
      <c r="D23" s="4" t="s">
        <v>138</v>
      </c>
    </row>
    <row r="24" spans="1:4" x14ac:dyDescent="0.35">
      <c r="A24" s="4" t="s">
        <v>139</v>
      </c>
      <c r="B24" s="4" t="s">
        <v>140</v>
      </c>
      <c r="C24" s="4" t="s">
        <v>128</v>
      </c>
      <c r="D24" s="4" t="s">
        <v>138</v>
      </c>
    </row>
    <row r="25" spans="1:4" x14ac:dyDescent="0.35">
      <c r="A25" s="4" t="s">
        <v>141</v>
      </c>
      <c r="B25" s="4" t="s">
        <v>142</v>
      </c>
      <c r="C25" s="4" t="s">
        <v>128</v>
      </c>
      <c r="D25" s="4" t="s">
        <v>135</v>
      </c>
    </row>
    <row r="26" spans="1:4" x14ac:dyDescent="0.35">
      <c r="A26" s="4" t="s">
        <v>143</v>
      </c>
      <c r="B26" s="4" t="s">
        <v>144</v>
      </c>
      <c r="C26" s="4" t="s">
        <v>79</v>
      </c>
      <c r="D26" s="4" t="s">
        <v>80</v>
      </c>
    </row>
    <row r="27" spans="1:4" x14ac:dyDescent="0.35">
      <c r="A27" s="4" t="s">
        <v>145</v>
      </c>
      <c r="B27" s="4" t="s">
        <v>146</v>
      </c>
      <c r="C27" s="4" t="s">
        <v>79</v>
      </c>
      <c r="D27" s="4" t="s">
        <v>80</v>
      </c>
    </row>
    <row r="28" spans="1:4" x14ac:dyDescent="0.35">
      <c r="A28" s="4" t="s">
        <v>147</v>
      </c>
      <c r="B28" s="4" t="s">
        <v>148</v>
      </c>
      <c r="C28" s="4" t="s">
        <v>95</v>
      </c>
      <c r="D28" s="4" t="s">
        <v>96</v>
      </c>
    </row>
    <row r="29" spans="1:4" x14ac:dyDescent="0.35">
      <c r="A29" s="4" t="s">
        <v>149</v>
      </c>
      <c r="B29" s="4" t="s">
        <v>150</v>
      </c>
      <c r="C29" s="4" t="s">
        <v>95</v>
      </c>
      <c r="D29" s="4" t="s">
        <v>106</v>
      </c>
    </row>
    <row r="30" spans="1:4" x14ac:dyDescent="0.35">
      <c r="A30" s="4" t="s">
        <v>151</v>
      </c>
      <c r="B30" s="4" t="s">
        <v>152</v>
      </c>
      <c r="C30" s="4" t="s">
        <v>79</v>
      </c>
      <c r="D30" s="4" t="s">
        <v>92</v>
      </c>
    </row>
    <row r="31" spans="1:4" x14ac:dyDescent="0.35">
      <c r="A31" s="4" t="s">
        <v>153</v>
      </c>
      <c r="B31" s="4" t="s">
        <v>154</v>
      </c>
      <c r="C31" s="4" t="s">
        <v>114</v>
      </c>
      <c r="D31" s="4" t="s">
        <v>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E6AF-92F2-43AA-9B99-9F628B1F984E}">
  <dimension ref="A1:N101"/>
  <sheetViews>
    <sheetView workbookViewId="0">
      <selection activeCell="F18" sqref="F18"/>
    </sheetView>
  </sheetViews>
  <sheetFormatPr defaultRowHeight="14.5" x14ac:dyDescent="0.35"/>
  <cols>
    <col min="1" max="1" width="9.6328125" customWidth="1"/>
    <col min="2" max="2" width="13.08984375" customWidth="1"/>
    <col min="3" max="3" width="13.453125" customWidth="1"/>
    <col min="4" max="4" width="13.7265625" customWidth="1"/>
    <col min="5" max="5" width="10" customWidth="1"/>
    <col min="6" max="6" width="14.6328125" customWidth="1"/>
    <col min="7" max="7" width="11.453125" customWidth="1"/>
    <col min="8" max="8" width="11" customWidth="1"/>
    <col min="9" max="9" width="11.26953125" customWidth="1"/>
    <col min="10" max="10" width="9.7265625" customWidth="1"/>
    <col min="11" max="11" width="9.81640625" customWidth="1"/>
    <col min="12" max="12" width="16.26953125" customWidth="1"/>
    <col min="13" max="13" width="9.453125" customWidth="1"/>
    <col min="14" max="14" width="12.6328125" customWidth="1"/>
  </cols>
  <sheetData>
    <row r="1" spans="1:14" x14ac:dyDescent="0.35">
      <c r="A1" s="4" t="s">
        <v>9</v>
      </c>
      <c r="B1" s="4" t="s">
        <v>155</v>
      </c>
      <c r="C1" s="4" t="s">
        <v>5</v>
      </c>
      <c r="D1" s="4" t="s">
        <v>0</v>
      </c>
      <c r="E1" s="4" t="s">
        <v>10</v>
      </c>
      <c r="F1" s="4" t="s">
        <v>1</v>
      </c>
      <c r="G1" s="4" t="s">
        <v>2</v>
      </c>
      <c r="H1" s="4" t="s">
        <v>3</v>
      </c>
      <c r="I1" s="4" t="s">
        <v>4</v>
      </c>
      <c r="J1" s="4" t="s">
        <v>11</v>
      </c>
      <c r="K1" s="4" t="s">
        <v>12</v>
      </c>
      <c r="L1" s="4" t="s">
        <v>6</v>
      </c>
      <c r="M1" s="4" t="s">
        <v>7</v>
      </c>
      <c r="N1" s="4" t="s">
        <v>8</v>
      </c>
    </row>
    <row r="2" spans="1:14" x14ac:dyDescent="0.35">
      <c r="A2" s="5">
        <v>1001</v>
      </c>
      <c r="B2" s="6">
        <v>45658</v>
      </c>
      <c r="C2" s="5" t="s">
        <v>77</v>
      </c>
      <c r="D2" s="5" t="s">
        <v>13</v>
      </c>
      <c r="E2" s="5">
        <v>2</v>
      </c>
      <c r="F2" s="5" t="str">
        <f>VLOOKUP(D2,Table1[#All],2,0)</f>
        <v>Laptop</v>
      </c>
      <c r="G2" s="5" t="str">
        <f>VLOOKUP(D2,Table1[#All],3,0)</f>
        <v>Electronics</v>
      </c>
      <c r="H2" s="5">
        <f>VLOOKUP(D2,Table1[#All],4,)</f>
        <v>50000</v>
      </c>
      <c r="I2" s="5">
        <f>VLOOKUP(D2,Table1[#All],5,)</f>
        <v>42000</v>
      </c>
      <c r="J2" s="5">
        <f t="shared" ref="J2:J33" si="0">PRODUCT(H2,E2)</f>
        <v>100000</v>
      </c>
      <c r="K2" s="5">
        <f t="shared" ref="K2:K33" si="1">J2-(I2*E2)</f>
        <v>16000</v>
      </c>
      <c r="L2" s="5" t="str">
        <f>VLOOKUP(C2,Table2[#All],2,)</f>
        <v>Amit Patel</v>
      </c>
      <c r="M2" s="5" t="str">
        <f>VLOOKUP(C2,Table2[#All],3,)</f>
        <v>West</v>
      </c>
      <c r="N2" s="5" t="str">
        <f>VLOOKUP(C2,Table2[#All],4,)</f>
        <v>Gujarat</v>
      </c>
    </row>
    <row r="3" spans="1:14" x14ac:dyDescent="0.35">
      <c r="A3" s="5">
        <v>1002</v>
      </c>
      <c r="B3" s="6">
        <v>45659</v>
      </c>
      <c r="C3" s="5" t="s">
        <v>81</v>
      </c>
      <c r="D3" s="5" t="s">
        <v>16</v>
      </c>
      <c r="E3" s="5">
        <v>3</v>
      </c>
      <c r="F3" s="5" t="str">
        <f>VLOOKUP(D3,Table1[#All],2,0)</f>
        <v>Mouse</v>
      </c>
      <c r="G3" s="5" t="str">
        <f>VLOOKUP(D3,Table1[#All],3,0)</f>
        <v>Electronics</v>
      </c>
      <c r="H3" s="5">
        <f>VLOOKUP(D3,Table1[#All],4,)</f>
        <v>800</v>
      </c>
      <c r="I3" s="5">
        <f>VLOOKUP(D3,Table1[#All],5,)</f>
        <v>500</v>
      </c>
      <c r="J3" s="5">
        <f t="shared" si="0"/>
        <v>2400</v>
      </c>
      <c r="K3" s="5">
        <f t="shared" si="1"/>
        <v>900</v>
      </c>
      <c r="L3" s="5" t="str">
        <f>VLOOKUP(C3,Table2[#All],2,)</f>
        <v>Rahul Shah</v>
      </c>
      <c r="M3" s="5" t="str">
        <f>VLOOKUP(C3,Table2[#All],3,)</f>
        <v>West</v>
      </c>
      <c r="N3" s="5" t="str">
        <f>VLOOKUP(C3,Table2[#All],4,)</f>
        <v>Gujarat</v>
      </c>
    </row>
    <row r="4" spans="1:14" x14ac:dyDescent="0.35">
      <c r="A4" s="5">
        <v>1003</v>
      </c>
      <c r="B4" s="6">
        <v>45660</v>
      </c>
      <c r="C4" s="5" t="s">
        <v>83</v>
      </c>
      <c r="D4" s="5" t="s">
        <v>18</v>
      </c>
      <c r="E4" s="5">
        <v>4</v>
      </c>
      <c r="F4" s="5" t="str">
        <f>VLOOKUP(D4,Table1[#All],2,0)</f>
        <v>Keyboard</v>
      </c>
      <c r="G4" s="5" t="str">
        <f>VLOOKUP(D4,Table1[#All],3,0)</f>
        <v>Electronics</v>
      </c>
      <c r="H4" s="5">
        <f>VLOOKUP(D4,Table1[#All],4,)</f>
        <v>1200</v>
      </c>
      <c r="I4" s="5">
        <f>VLOOKUP(D4,Table1[#All],5,)</f>
        <v>850</v>
      </c>
      <c r="J4" s="5">
        <f t="shared" si="0"/>
        <v>4800</v>
      </c>
      <c r="K4" s="5">
        <f t="shared" si="1"/>
        <v>1400</v>
      </c>
      <c r="L4" s="5" t="str">
        <f>VLOOKUP(C4,Table2[#All],2,)</f>
        <v>Neha Patel</v>
      </c>
      <c r="M4" s="5" t="str">
        <f>VLOOKUP(C4,Table2[#All],3,)</f>
        <v>West</v>
      </c>
      <c r="N4" s="5" t="str">
        <f>VLOOKUP(C4,Table2[#All],4,)</f>
        <v>Gujarat</v>
      </c>
    </row>
    <row r="5" spans="1:14" x14ac:dyDescent="0.35">
      <c r="A5" s="5">
        <v>1004</v>
      </c>
      <c r="B5" s="6">
        <v>45661</v>
      </c>
      <c r="C5" s="5" t="s">
        <v>85</v>
      </c>
      <c r="D5" s="5" t="s">
        <v>20</v>
      </c>
      <c r="E5" s="5">
        <v>1</v>
      </c>
      <c r="F5" s="5" t="str">
        <f>VLOOKUP(D5,Table1[#All],2,0)</f>
        <v>Monitor</v>
      </c>
      <c r="G5" s="5" t="str">
        <f>VLOOKUP(D5,Table1[#All],3,0)</f>
        <v>Electronics</v>
      </c>
      <c r="H5" s="5">
        <f>VLOOKUP(D5,Table1[#All],4,)</f>
        <v>15000</v>
      </c>
      <c r="I5" s="5">
        <f>VLOOKUP(D5,Table1[#All],5,)</f>
        <v>12500</v>
      </c>
      <c r="J5" s="5">
        <f t="shared" si="0"/>
        <v>15000</v>
      </c>
      <c r="K5" s="5">
        <f t="shared" si="1"/>
        <v>2500</v>
      </c>
      <c r="L5" s="5" t="str">
        <f>VLOOKUP(C5,Table2[#All],2,)</f>
        <v>Priya Mehta</v>
      </c>
      <c r="M5" s="5" t="str">
        <f>VLOOKUP(C5,Table2[#All],3,)</f>
        <v>West</v>
      </c>
      <c r="N5" s="5" t="str">
        <f>VLOOKUP(C5,Table2[#All],4,)</f>
        <v>Maharashtra</v>
      </c>
    </row>
    <row r="6" spans="1:14" x14ac:dyDescent="0.35">
      <c r="A6" s="5">
        <v>1005</v>
      </c>
      <c r="B6" s="6">
        <v>45662</v>
      </c>
      <c r="C6" s="5" t="s">
        <v>88</v>
      </c>
      <c r="D6" s="5" t="s">
        <v>22</v>
      </c>
      <c r="E6" s="5">
        <v>5</v>
      </c>
      <c r="F6" s="5" t="str">
        <f>VLOOKUP(D6,Table1[#All],2,0)</f>
        <v>Printer</v>
      </c>
      <c r="G6" s="5" t="str">
        <f>VLOOKUP(D6,Table1[#All],3,0)</f>
        <v>Electronics</v>
      </c>
      <c r="H6" s="5">
        <f>VLOOKUP(D6,Table1[#All],4,)</f>
        <v>9000</v>
      </c>
      <c r="I6" s="5">
        <f>VLOOKUP(D6,Table1[#All],5,)</f>
        <v>7600</v>
      </c>
      <c r="J6" s="5">
        <f t="shared" si="0"/>
        <v>45000</v>
      </c>
      <c r="K6" s="5">
        <f t="shared" si="1"/>
        <v>7000</v>
      </c>
      <c r="L6" s="5" t="str">
        <f>VLOOKUP(C6,Table2[#All],2,)</f>
        <v>Karan Joshi</v>
      </c>
      <c r="M6" s="5" t="str">
        <f>VLOOKUP(C6,Table2[#All],3,)</f>
        <v>West</v>
      </c>
      <c r="N6" s="5" t="str">
        <f>VLOOKUP(C6,Table2[#All],4,)</f>
        <v>Maharashtra</v>
      </c>
    </row>
    <row r="7" spans="1:14" x14ac:dyDescent="0.35">
      <c r="A7" s="5">
        <v>1006</v>
      </c>
      <c r="B7" s="6">
        <v>45663</v>
      </c>
      <c r="C7" s="5" t="s">
        <v>90</v>
      </c>
      <c r="D7" s="5" t="s">
        <v>24</v>
      </c>
      <c r="E7" s="5">
        <v>1</v>
      </c>
      <c r="F7" s="5" t="str">
        <f>VLOOKUP(D7,Table1[#All],2,0)</f>
        <v>Mobile</v>
      </c>
      <c r="G7" s="5" t="str">
        <f>VLOOKUP(D7,Table1[#All],3,0)</f>
        <v>Electronics</v>
      </c>
      <c r="H7" s="5">
        <f>VLOOKUP(D7,Table1[#All],4,)</f>
        <v>25000</v>
      </c>
      <c r="I7" s="5">
        <f>VLOOKUP(D7,Table1[#All],5,)</f>
        <v>21000</v>
      </c>
      <c r="J7" s="5">
        <f t="shared" si="0"/>
        <v>25000</v>
      </c>
      <c r="K7" s="5">
        <f t="shared" si="1"/>
        <v>4000</v>
      </c>
      <c r="L7" s="5" t="str">
        <f>VLOOKUP(C7,Table2[#All],2,)</f>
        <v>Riya Desai</v>
      </c>
      <c r="M7" s="5" t="str">
        <f>VLOOKUP(C7,Table2[#All],3,)</f>
        <v>West</v>
      </c>
      <c r="N7" s="5" t="str">
        <f>VLOOKUP(C7,Table2[#All],4,)</f>
        <v>Rajasthan</v>
      </c>
    </row>
    <row r="8" spans="1:14" x14ac:dyDescent="0.35">
      <c r="A8" s="5">
        <v>1007</v>
      </c>
      <c r="B8" s="6">
        <v>45664</v>
      </c>
      <c r="C8" s="5" t="s">
        <v>93</v>
      </c>
      <c r="D8" s="5" t="s">
        <v>26</v>
      </c>
      <c r="E8" s="5">
        <v>3</v>
      </c>
      <c r="F8" s="5" t="str">
        <f>VLOOKUP(D8,Table1[#All],2,0)</f>
        <v>Earbuds</v>
      </c>
      <c r="G8" s="5" t="str">
        <f>VLOOKUP(D8,Table1[#All],3,0)</f>
        <v>Electronics</v>
      </c>
      <c r="H8" s="5">
        <f>VLOOKUP(D8,Table1[#All],4,)</f>
        <v>2000</v>
      </c>
      <c r="I8" s="5">
        <f>VLOOKUP(D8,Table1[#All],5,)</f>
        <v>1500</v>
      </c>
      <c r="J8" s="5">
        <f t="shared" si="0"/>
        <v>6000</v>
      </c>
      <c r="K8" s="5">
        <f t="shared" si="1"/>
        <v>1500</v>
      </c>
      <c r="L8" s="5" t="str">
        <f>VLOOKUP(C8,Table2[#All],2,)</f>
        <v>Mohit Singh</v>
      </c>
      <c r="M8" s="5" t="str">
        <f>VLOOKUP(C8,Table2[#All],3,)</f>
        <v>North</v>
      </c>
      <c r="N8" s="5" t="str">
        <f>VLOOKUP(C8,Table2[#All],4,)</f>
        <v>Delhi</v>
      </c>
    </row>
    <row r="9" spans="1:14" x14ac:dyDescent="0.35">
      <c r="A9" s="5">
        <v>1008</v>
      </c>
      <c r="B9" s="6">
        <v>45665</v>
      </c>
      <c r="C9" s="5" t="s">
        <v>97</v>
      </c>
      <c r="D9" s="5" t="s">
        <v>28</v>
      </c>
      <c r="E9" s="5">
        <v>2</v>
      </c>
      <c r="F9" s="5" t="str">
        <f>VLOOKUP(D9,Table1[#All],2,0)</f>
        <v>Smart Watch</v>
      </c>
      <c r="G9" s="5" t="str">
        <f>VLOOKUP(D9,Table1[#All],3,0)</f>
        <v>Electronics</v>
      </c>
      <c r="H9" s="5">
        <f>VLOOKUP(D9,Table1[#All],4,)</f>
        <v>6000</v>
      </c>
      <c r="I9" s="5">
        <f>VLOOKUP(D9,Table1[#All],5,)</f>
        <v>5000</v>
      </c>
      <c r="J9" s="5">
        <f t="shared" si="0"/>
        <v>12000</v>
      </c>
      <c r="K9" s="5">
        <f t="shared" si="1"/>
        <v>2000</v>
      </c>
      <c r="L9" s="5" t="str">
        <f>VLOOKUP(C9,Table2[#All],2,)</f>
        <v>Anjali Verma</v>
      </c>
      <c r="M9" s="5" t="str">
        <f>VLOOKUP(C9,Table2[#All],3,)</f>
        <v>North</v>
      </c>
      <c r="N9" s="5" t="str">
        <f>VLOOKUP(C9,Table2[#All],4,)</f>
        <v>Delhi</v>
      </c>
    </row>
    <row r="10" spans="1:14" x14ac:dyDescent="0.35">
      <c r="A10" s="5">
        <v>1009</v>
      </c>
      <c r="B10" s="6">
        <v>45666</v>
      </c>
      <c r="C10" s="5" t="s">
        <v>99</v>
      </c>
      <c r="D10" s="5" t="s">
        <v>30</v>
      </c>
      <c r="E10" s="5">
        <v>2</v>
      </c>
      <c r="F10" s="5" t="str">
        <f>VLOOKUP(D10,Table1[#All],2,0)</f>
        <v>Chair</v>
      </c>
      <c r="G10" s="5" t="str">
        <f>VLOOKUP(D10,Table1[#All],3,0)</f>
        <v>Furniture</v>
      </c>
      <c r="H10" s="5">
        <f>VLOOKUP(D10,Table1[#All],4,)</f>
        <v>3500</v>
      </c>
      <c r="I10" s="5">
        <f>VLOOKUP(D10,Table1[#All],5,)</f>
        <v>2800</v>
      </c>
      <c r="J10" s="5">
        <f t="shared" si="0"/>
        <v>7000</v>
      </c>
      <c r="K10" s="5">
        <f t="shared" si="1"/>
        <v>1400</v>
      </c>
      <c r="L10" s="5" t="str">
        <f>VLOOKUP(C10,Table2[#All],2,)</f>
        <v>Rohit Kumar</v>
      </c>
      <c r="M10" s="5" t="str">
        <f>VLOOKUP(C10,Table2[#All],3,)</f>
        <v>North</v>
      </c>
      <c r="N10" s="5" t="str">
        <f>VLOOKUP(C10,Table2[#All],4,)</f>
        <v>Punjab</v>
      </c>
    </row>
    <row r="11" spans="1:14" x14ac:dyDescent="0.35">
      <c r="A11" s="5">
        <v>1010</v>
      </c>
      <c r="B11" s="6">
        <v>45667</v>
      </c>
      <c r="C11" s="5" t="s">
        <v>102</v>
      </c>
      <c r="D11" s="5" t="s">
        <v>33</v>
      </c>
      <c r="E11" s="5">
        <v>2</v>
      </c>
      <c r="F11" s="5" t="str">
        <f>VLOOKUP(D11,Table1[#All],2,0)</f>
        <v>Table</v>
      </c>
      <c r="G11" s="5" t="str">
        <f>VLOOKUP(D11,Table1[#All],3,0)</f>
        <v>Furniture</v>
      </c>
      <c r="H11" s="5">
        <f>VLOOKUP(D11,Table1[#All],4,)</f>
        <v>7000</v>
      </c>
      <c r="I11" s="5">
        <f>VLOOKUP(D11,Table1[#All],5,)</f>
        <v>5800</v>
      </c>
      <c r="J11" s="5">
        <f t="shared" si="0"/>
        <v>14000</v>
      </c>
      <c r="K11" s="5">
        <f t="shared" si="1"/>
        <v>2400</v>
      </c>
      <c r="L11" s="5" t="str">
        <f>VLOOKUP(C11,Table2[#All],2,)</f>
        <v>Simran Kaur</v>
      </c>
      <c r="M11" s="5" t="str">
        <f>VLOOKUP(C11,Table2[#All],3,)</f>
        <v>North</v>
      </c>
      <c r="N11" s="5" t="str">
        <f>VLOOKUP(C11,Table2[#All],4,)</f>
        <v>Punjab</v>
      </c>
    </row>
    <row r="12" spans="1:14" x14ac:dyDescent="0.35">
      <c r="A12" s="5">
        <v>1011</v>
      </c>
      <c r="B12" s="6">
        <v>45668</v>
      </c>
      <c r="C12" s="5" t="s">
        <v>104</v>
      </c>
      <c r="D12" s="5" t="s">
        <v>35</v>
      </c>
      <c r="E12" s="5">
        <v>4</v>
      </c>
      <c r="F12" s="5" t="str">
        <f>VLOOKUP(D12,Table1[#All],2,0)</f>
        <v>Sofa</v>
      </c>
      <c r="G12" s="5" t="str">
        <f>VLOOKUP(D12,Table1[#All],3,0)</f>
        <v>Furniture</v>
      </c>
      <c r="H12" s="5">
        <f>VLOOKUP(D12,Table1[#All],4,)</f>
        <v>25000</v>
      </c>
      <c r="I12" s="5">
        <f>VLOOKUP(D12,Table1[#All],5,)</f>
        <v>21000</v>
      </c>
      <c r="J12" s="5">
        <f t="shared" si="0"/>
        <v>100000</v>
      </c>
      <c r="K12" s="5">
        <f t="shared" si="1"/>
        <v>16000</v>
      </c>
      <c r="L12" s="5" t="str">
        <f>VLOOKUP(C12,Table2[#All],2,)</f>
        <v>Arjun Sharma</v>
      </c>
      <c r="M12" s="5" t="str">
        <f>VLOOKUP(C12,Table2[#All],3,)</f>
        <v>North</v>
      </c>
      <c r="N12" s="5" t="str">
        <f>VLOOKUP(C12,Table2[#All],4,)</f>
        <v>Haryana</v>
      </c>
    </row>
    <row r="13" spans="1:14" x14ac:dyDescent="0.35">
      <c r="A13" s="5">
        <v>1012</v>
      </c>
      <c r="B13" s="6">
        <v>45669</v>
      </c>
      <c r="C13" s="5" t="s">
        <v>107</v>
      </c>
      <c r="D13" s="5" t="s">
        <v>37</v>
      </c>
      <c r="E13" s="5">
        <v>2</v>
      </c>
      <c r="F13" s="5" t="str">
        <f>VLOOKUP(D13,Table1[#All],2,0)</f>
        <v>Cupboard</v>
      </c>
      <c r="G13" s="5" t="str">
        <f>VLOOKUP(D13,Table1[#All],3,0)</f>
        <v>Furniture</v>
      </c>
      <c r="H13" s="5">
        <f>VLOOKUP(D13,Table1[#All],4,)</f>
        <v>18000</v>
      </c>
      <c r="I13" s="5">
        <f>VLOOKUP(D13,Table1[#All],5,)</f>
        <v>15000</v>
      </c>
      <c r="J13" s="5">
        <f t="shared" si="0"/>
        <v>36000</v>
      </c>
      <c r="K13" s="5">
        <f t="shared" si="1"/>
        <v>6000</v>
      </c>
      <c r="L13" s="5" t="str">
        <f>VLOOKUP(C13,Table2[#All],2,)</f>
        <v>Sneha Gupta</v>
      </c>
      <c r="M13" s="5" t="str">
        <f>VLOOKUP(C13,Table2[#All],3,)</f>
        <v>North</v>
      </c>
      <c r="N13" s="5" t="str">
        <f>VLOOKUP(C13,Table2[#All],4,)</f>
        <v>Uttar Pradesh</v>
      </c>
    </row>
    <row r="14" spans="1:14" x14ac:dyDescent="0.35">
      <c r="A14" s="5">
        <v>1013</v>
      </c>
      <c r="B14" s="6">
        <v>45670</v>
      </c>
      <c r="C14" s="5" t="s">
        <v>110</v>
      </c>
      <c r="D14" s="5" t="s">
        <v>39</v>
      </c>
      <c r="E14" s="5">
        <v>5</v>
      </c>
      <c r="F14" s="5" t="str">
        <f>VLOOKUP(D14,Table1[#All],2,0)</f>
        <v>Bed</v>
      </c>
      <c r="G14" s="5" t="str">
        <f>VLOOKUP(D14,Table1[#All],3,0)</f>
        <v>Furniture</v>
      </c>
      <c r="H14" s="5">
        <f>VLOOKUP(D14,Table1[#All],4,)</f>
        <v>30000</v>
      </c>
      <c r="I14" s="5">
        <f>VLOOKUP(D14,Table1[#All],5,)</f>
        <v>25500</v>
      </c>
      <c r="J14" s="5">
        <f t="shared" si="0"/>
        <v>150000</v>
      </c>
      <c r="K14" s="5">
        <f t="shared" si="1"/>
        <v>22500</v>
      </c>
      <c r="L14" s="5" t="str">
        <f>VLOOKUP(C14,Table2[#All],2,)</f>
        <v>Vivek Yadav</v>
      </c>
      <c r="M14" s="5" t="str">
        <f>VLOOKUP(C14,Table2[#All],3,)</f>
        <v>North</v>
      </c>
      <c r="N14" s="5" t="str">
        <f>VLOOKUP(C14,Table2[#All],4,)</f>
        <v>Uttar Pradesh</v>
      </c>
    </row>
    <row r="15" spans="1:14" x14ac:dyDescent="0.35">
      <c r="A15" s="5">
        <v>1014</v>
      </c>
      <c r="B15" s="6">
        <v>45671</v>
      </c>
      <c r="C15" s="5" t="s">
        <v>112</v>
      </c>
      <c r="D15" s="5" t="s">
        <v>41</v>
      </c>
      <c r="E15" s="5">
        <v>1</v>
      </c>
      <c r="F15" s="5" t="str">
        <f>VLOOKUP(D15,Table1[#All],2,0)</f>
        <v>Notebook</v>
      </c>
      <c r="G15" s="5" t="str">
        <f>VLOOKUP(D15,Table1[#All],3,0)</f>
        <v>Stationery</v>
      </c>
      <c r="H15" s="5">
        <f>VLOOKUP(D15,Table1[#All],4,)</f>
        <v>80</v>
      </c>
      <c r="I15" s="5">
        <f>VLOOKUP(D15,Table1[#All],5,)</f>
        <v>50</v>
      </c>
      <c r="J15" s="5">
        <f t="shared" si="0"/>
        <v>80</v>
      </c>
      <c r="K15" s="5">
        <f t="shared" si="1"/>
        <v>30</v>
      </c>
      <c r="L15" s="5" t="str">
        <f>VLOOKUP(C15,Table2[#All],2,)</f>
        <v>Pooja Mishra</v>
      </c>
      <c r="M15" s="5" t="str">
        <f>VLOOKUP(C15,Table2[#All],3,)</f>
        <v>East</v>
      </c>
      <c r="N15" s="5" t="str">
        <f>VLOOKUP(C15,Table2[#All],4,)</f>
        <v>Bihar</v>
      </c>
    </row>
    <row r="16" spans="1:14" x14ac:dyDescent="0.35">
      <c r="A16" s="5">
        <v>1015</v>
      </c>
      <c r="B16" s="6">
        <v>45672</v>
      </c>
      <c r="C16" s="5" t="s">
        <v>116</v>
      </c>
      <c r="D16" s="5" t="s">
        <v>44</v>
      </c>
      <c r="E16" s="5">
        <v>4</v>
      </c>
      <c r="F16" s="5" t="str">
        <f>VLOOKUP(D16,Table1[#All],2,0)</f>
        <v>Pen</v>
      </c>
      <c r="G16" s="5" t="str">
        <f>VLOOKUP(D16,Table1[#All],3,0)</f>
        <v>Stationery</v>
      </c>
      <c r="H16" s="5">
        <f>VLOOKUP(D16,Table1[#All],4,)</f>
        <v>20</v>
      </c>
      <c r="I16" s="5">
        <f>VLOOKUP(D16,Table1[#All],5,)</f>
        <v>10</v>
      </c>
      <c r="J16" s="5">
        <f t="shared" si="0"/>
        <v>80</v>
      </c>
      <c r="K16" s="5">
        <f t="shared" si="1"/>
        <v>40</v>
      </c>
      <c r="L16" s="5" t="str">
        <f>VLOOKUP(C16,Table2[#All],2,)</f>
        <v>Rajesh Das</v>
      </c>
      <c r="M16" s="5" t="str">
        <f>VLOOKUP(C16,Table2[#All],3,)</f>
        <v>East</v>
      </c>
      <c r="N16" s="5" t="str">
        <f>VLOOKUP(C16,Table2[#All],4,)</f>
        <v>West Bengal</v>
      </c>
    </row>
    <row r="17" spans="1:14" x14ac:dyDescent="0.35">
      <c r="A17" s="5">
        <v>1016</v>
      </c>
      <c r="B17" s="6">
        <v>45673</v>
      </c>
      <c r="C17" s="5" t="s">
        <v>119</v>
      </c>
      <c r="D17" s="5" t="s">
        <v>46</v>
      </c>
      <c r="E17" s="5">
        <v>4</v>
      </c>
      <c r="F17" s="5" t="str">
        <f>VLOOKUP(D17,Table1[#All],2,0)</f>
        <v>Marker</v>
      </c>
      <c r="G17" s="5" t="str">
        <f>VLOOKUP(D17,Table1[#All],3,0)</f>
        <v>Stationery</v>
      </c>
      <c r="H17" s="5">
        <f>VLOOKUP(D17,Table1[#All],4,)</f>
        <v>40</v>
      </c>
      <c r="I17" s="5">
        <f>VLOOKUP(D17,Table1[#All],5,)</f>
        <v>25</v>
      </c>
      <c r="J17" s="5">
        <f t="shared" si="0"/>
        <v>160</v>
      </c>
      <c r="K17" s="5">
        <f t="shared" si="1"/>
        <v>60</v>
      </c>
      <c r="L17" s="5" t="str">
        <f>VLOOKUP(C17,Table2[#All],2,)</f>
        <v>Suman Roy</v>
      </c>
      <c r="M17" s="5" t="str">
        <f>VLOOKUP(C17,Table2[#All],3,)</f>
        <v>East</v>
      </c>
      <c r="N17" s="5" t="str">
        <f>VLOOKUP(C17,Table2[#All],4,)</f>
        <v>West Bengal</v>
      </c>
    </row>
    <row r="18" spans="1:14" x14ac:dyDescent="0.35">
      <c r="A18" s="5">
        <v>1017</v>
      </c>
      <c r="B18" s="6">
        <v>45674</v>
      </c>
      <c r="C18" s="5" t="s">
        <v>121</v>
      </c>
      <c r="D18" s="5" t="s">
        <v>48</v>
      </c>
      <c r="E18" s="5">
        <v>3</v>
      </c>
      <c r="F18" s="5" t="str">
        <f>VLOOKUP(D18,Table1[#All],2,0)</f>
        <v>File Folder</v>
      </c>
      <c r="G18" s="5" t="str">
        <f>VLOOKUP(D18,Table1[#All],3,0)</f>
        <v>Stationery</v>
      </c>
      <c r="H18" s="5">
        <f>VLOOKUP(D18,Table1[#All],4,)</f>
        <v>120</v>
      </c>
      <c r="I18" s="5">
        <f>VLOOKUP(D18,Table1[#All],5,)</f>
        <v>80</v>
      </c>
      <c r="J18" s="5">
        <f t="shared" si="0"/>
        <v>360</v>
      </c>
      <c r="K18" s="5">
        <f t="shared" si="1"/>
        <v>120</v>
      </c>
      <c r="L18" s="5" t="str">
        <f>VLOOKUP(C18,Table2[#All],2,)</f>
        <v>Ankita Ghosh</v>
      </c>
      <c r="M18" s="5" t="str">
        <f>VLOOKUP(C18,Table2[#All],3,)</f>
        <v>East</v>
      </c>
      <c r="N18" s="5" t="str">
        <f>VLOOKUP(C18,Table2[#All],4,)</f>
        <v>Odisha</v>
      </c>
    </row>
    <row r="19" spans="1:14" x14ac:dyDescent="0.35">
      <c r="A19" s="5">
        <v>1018</v>
      </c>
      <c r="B19" s="6">
        <v>45675</v>
      </c>
      <c r="C19" s="5" t="s">
        <v>124</v>
      </c>
      <c r="D19" s="5" t="s">
        <v>50</v>
      </c>
      <c r="E19" s="5">
        <v>2</v>
      </c>
      <c r="F19" s="5" t="str">
        <f>VLOOKUP(D19,Table1[#All],2,0)</f>
        <v>Backpack</v>
      </c>
      <c r="G19" s="5" t="str">
        <f>VLOOKUP(D19,Table1[#All],3,0)</f>
        <v>Accessories</v>
      </c>
      <c r="H19" s="5">
        <f>VLOOKUP(D19,Table1[#All],4,)</f>
        <v>1500</v>
      </c>
      <c r="I19" s="5">
        <f>VLOOKUP(D19,Table1[#All],5,)</f>
        <v>1100</v>
      </c>
      <c r="J19" s="5">
        <f t="shared" si="0"/>
        <v>3000</v>
      </c>
      <c r="K19" s="5">
        <f t="shared" si="1"/>
        <v>800</v>
      </c>
      <c r="L19" s="5" t="str">
        <f>VLOOKUP(C19,Table2[#All],2,)</f>
        <v>Deepak Nayak</v>
      </c>
      <c r="M19" s="5" t="str">
        <f>VLOOKUP(C19,Table2[#All],3,)</f>
        <v>East</v>
      </c>
      <c r="N19" s="5" t="str">
        <f>VLOOKUP(C19,Table2[#All],4,)</f>
        <v>Odisha</v>
      </c>
    </row>
    <row r="20" spans="1:14" x14ac:dyDescent="0.35">
      <c r="A20" s="5">
        <v>1019</v>
      </c>
      <c r="B20" s="6">
        <v>45676</v>
      </c>
      <c r="C20" s="5" t="s">
        <v>126</v>
      </c>
      <c r="D20" s="5" t="s">
        <v>53</v>
      </c>
      <c r="E20" s="5">
        <v>1</v>
      </c>
      <c r="F20" s="5" t="str">
        <f>VLOOKUP(D20,Table1[#All],2,0)</f>
        <v>Water Bottle</v>
      </c>
      <c r="G20" s="5" t="str">
        <f>VLOOKUP(D20,Table1[#All],3,0)</f>
        <v>Accessories</v>
      </c>
      <c r="H20" s="5">
        <f>VLOOKUP(D20,Table1[#All],4,)</f>
        <v>500</v>
      </c>
      <c r="I20" s="5">
        <f>VLOOKUP(D20,Table1[#All],5,)</f>
        <v>320</v>
      </c>
      <c r="J20" s="5">
        <f t="shared" si="0"/>
        <v>500</v>
      </c>
      <c r="K20" s="5">
        <f t="shared" si="1"/>
        <v>180</v>
      </c>
      <c r="L20" s="5" t="str">
        <f>VLOOKUP(C20,Table2[#All],2,)</f>
        <v>Suresh Reddy</v>
      </c>
      <c r="M20" s="5" t="str">
        <f>VLOOKUP(C20,Table2[#All],3,)</f>
        <v>South</v>
      </c>
      <c r="N20" s="5" t="str">
        <f>VLOOKUP(C20,Table2[#All],4,)</f>
        <v>Telangana</v>
      </c>
    </row>
    <row r="21" spans="1:14" x14ac:dyDescent="0.35">
      <c r="A21" s="5">
        <v>1020</v>
      </c>
      <c r="B21" s="6">
        <v>45677</v>
      </c>
      <c r="C21" s="5" t="s">
        <v>130</v>
      </c>
      <c r="D21" s="5" t="s">
        <v>55</v>
      </c>
      <c r="E21" s="5">
        <v>3</v>
      </c>
      <c r="F21" s="5" t="str">
        <f>VLOOKUP(D21,Table1[#All],2,0)</f>
        <v>Lunch Box</v>
      </c>
      <c r="G21" s="5" t="str">
        <f>VLOOKUP(D21,Table1[#All],3,0)</f>
        <v>Accessories</v>
      </c>
      <c r="H21" s="5">
        <f>VLOOKUP(D21,Table1[#All],4,)</f>
        <v>700</v>
      </c>
      <c r="I21" s="5">
        <f>VLOOKUP(D21,Table1[#All],5,)</f>
        <v>480</v>
      </c>
      <c r="J21" s="5">
        <f t="shared" si="0"/>
        <v>2100</v>
      </c>
      <c r="K21" s="5">
        <f t="shared" si="1"/>
        <v>660</v>
      </c>
      <c r="L21" s="5" t="str">
        <f>VLOOKUP(C21,Table2[#All],2,)</f>
        <v>Kavya Rao</v>
      </c>
      <c r="M21" s="5" t="str">
        <f>VLOOKUP(C21,Table2[#All],3,)</f>
        <v>South</v>
      </c>
      <c r="N21" s="5" t="str">
        <f>VLOOKUP(C21,Table2[#All],4,)</f>
        <v>Karnataka</v>
      </c>
    </row>
    <row r="22" spans="1:14" x14ac:dyDescent="0.35">
      <c r="A22" s="5">
        <v>1021</v>
      </c>
      <c r="B22" s="6">
        <v>45678</v>
      </c>
      <c r="C22" s="5" t="s">
        <v>133</v>
      </c>
      <c r="D22" s="5" t="s">
        <v>57</v>
      </c>
      <c r="E22" s="5">
        <v>5</v>
      </c>
      <c r="F22" s="5" t="str">
        <f>VLOOKUP(D22,Table1[#All],2,0)</f>
        <v>Calculator</v>
      </c>
      <c r="G22" s="5" t="str">
        <f>VLOOKUP(D22,Table1[#All],3,0)</f>
        <v>Stationery</v>
      </c>
      <c r="H22" s="5">
        <f>VLOOKUP(D22,Table1[#All],4,)</f>
        <v>600</v>
      </c>
      <c r="I22" s="5">
        <f>VLOOKUP(D22,Table1[#All],5,)</f>
        <v>450</v>
      </c>
      <c r="J22" s="5">
        <f t="shared" si="0"/>
        <v>3000</v>
      </c>
      <c r="K22" s="5">
        <f t="shared" si="1"/>
        <v>750</v>
      </c>
      <c r="L22" s="5" t="str">
        <f>VLOOKUP(C22,Table2[#All],2,)</f>
        <v>Nikhil Nair</v>
      </c>
      <c r="M22" s="5" t="str">
        <f>VLOOKUP(C22,Table2[#All],3,)</f>
        <v>South</v>
      </c>
      <c r="N22" s="5" t="str">
        <f>VLOOKUP(C22,Table2[#All],4,)</f>
        <v>Kerala</v>
      </c>
    </row>
    <row r="23" spans="1:14" x14ac:dyDescent="0.35">
      <c r="A23" s="5">
        <v>1022</v>
      </c>
      <c r="B23" s="6">
        <v>45679</v>
      </c>
      <c r="C23" s="5" t="s">
        <v>136</v>
      </c>
      <c r="D23" s="5" t="s">
        <v>59</v>
      </c>
      <c r="E23" s="5">
        <v>3</v>
      </c>
      <c r="F23" s="5" t="str">
        <f>VLOOKUP(D23,Table1[#All],2,0)</f>
        <v>USB Drive</v>
      </c>
      <c r="G23" s="5" t="str">
        <f>VLOOKUP(D23,Table1[#All],3,0)</f>
        <v>Electronics</v>
      </c>
      <c r="H23" s="5">
        <f>VLOOKUP(D23,Table1[#All],4,)</f>
        <v>900</v>
      </c>
      <c r="I23" s="5">
        <f>VLOOKUP(D23,Table1[#All],5,)</f>
        <v>650</v>
      </c>
      <c r="J23" s="5">
        <f t="shared" si="0"/>
        <v>2700</v>
      </c>
      <c r="K23" s="5">
        <f t="shared" si="1"/>
        <v>750</v>
      </c>
      <c r="L23" s="5" t="str">
        <f>VLOOKUP(C23,Table2[#All],2,)</f>
        <v>Divya Iyer</v>
      </c>
      <c r="M23" s="5" t="str">
        <f>VLOOKUP(C23,Table2[#All],3,)</f>
        <v>South</v>
      </c>
      <c r="N23" s="5" t="str">
        <f>VLOOKUP(C23,Table2[#All],4,)</f>
        <v>Tamil Nadu</v>
      </c>
    </row>
    <row r="24" spans="1:14" x14ac:dyDescent="0.35">
      <c r="A24" s="5">
        <v>1023</v>
      </c>
      <c r="B24" s="6">
        <v>45680</v>
      </c>
      <c r="C24" s="5" t="s">
        <v>139</v>
      </c>
      <c r="D24" s="5" t="s">
        <v>61</v>
      </c>
      <c r="E24" s="5">
        <v>2</v>
      </c>
      <c r="F24" s="5" t="str">
        <f>VLOOKUP(D24,Table1[#All],2,0)</f>
        <v>Power Bank</v>
      </c>
      <c r="G24" s="5" t="str">
        <f>VLOOKUP(D24,Table1[#All],3,0)</f>
        <v>Electronics</v>
      </c>
      <c r="H24" s="5">
        <f>VLOOKUP(D24,Table1[#All],4,)</f>
        <v>1800</v>
      </c>
      <c r="I24" s="5">
        <f>VLOOKUP(D24,Table1[#All],5,)</f>
        <v>1400</v>
      </c>
      <c r="J24" s="5">
        <f t="shared" si="0"/>
        <v>3600</v>
      </c>
      <c r="K24" s="5">
        <f t="shared" si="1"/>
        <v>800</v>
      </c>
      <c r="L24" s="5" t="str">
        <f>VLOOKUP(C24,Table2[#All],2,)</f>
        <v>Harish Kumar</v>
      </c>
      <c r="M24" s="5" t="str">
        <f>VLOOKUP(C24,Table2[#All],3,)</f>
        <v>South</v>
      </c>
      <c r="N24" s="5" t="str">
        <f>VLOOKUP(C24,Table2[#All],4,)</f>
        <v>Tamil Nadu</v>
      </c>
    </row>
    <row r="25" spans="1:14" x14ac:dyDescent="0.35">
      <c r="A25" s="5">
        <v>1024</v>
      </c>
      <c r="B25" s="6">
        <v>45681</v>
      </c>
      <c r="C25" s="5" t="s">
        <v>141</v>
      </c>
      <c r="D25" s="5" t="s">
        <v>63</v>
      </c>
      <c r="E25" s="5">
        <v>1</v>
      </c>
      <c r="F25" s="5" t="str">
        <f>VLOOKUP(D25,Table1[#All],2,0)</f>
        <v>Desk Lamp</v>
      </c>
      <c r="G25" s="5" t="str">
        <f>VLOOKUP(D25,Table1[#All],3,0)</f>
        <v>Furniture</v>
      </c>
      <c r="H25" s="5">
        <f>VLOOKUP(D25,Table1[#All],4,)</f>
        <v>2200</v>
      </c>
      <c r="I25" s="5">
        <f>VLOOKUP(D25,Table1[#All],5,)</f>
        <v>1700</v>
      </c>
      <c r="J25" s="5">
        <f t="shared" si="0"/>
        <v>2200</v>
      </c>
      <c r="K25" s="5">
        <f t="shared" si="1"/>
        <v>500</v>
      </c>
      <c r="L25" s="5" t="str">
        <f>VLOOKUP(C25,Table2[#All],2,)</f>
        <v>Meera Pillai</v>
      </c>
      <c r="M25" s="5" t="str">
        <f>VLOOKUP(C25,Table2[#All],3,)</f>
        <v>South</v>
      </c>
      <c r="N25" s="5" t="str">
        <f>VLOOKUP(C25,Table2[#All],4,)</f>
        <v>Kerala</v>
      </c>
    </row>
    <row r="26" spans="1:14" x14ac:dyDescent="0.35">
      <c r="A26" s="5">
        <v>1025</v>
      </c>
      <c r="B26" s="6">
        <v>45682</v>
      </c>
      <c r="C26" s="5" t="s">
        <v>143</v>
      </c>
      <c r="D26" s="5" t="s">
        <v>65</v>
      </c>
      <c r="E26" s="5">
        <v>5</v>
      </c>
      <c r="F26" s="5" t="str">
        <f>VLOOKUP(D26,Table1[#All],2,0)</f>
        <v>Office Chair</v>
      </c>
      <c r="G26" s="5" t="str">
        <f>VLOOKUP(D26,Table1[#All],3,0)</f>
        <v>Furniture</v>
      </c>
      <c r="H26" s="5">
        <f>VLOOKUP(D26,Table1[#All],4,)</f>
        <v>8500</v>
      </c>
      <c r="I26" s="5">
        <f>VLOOKUP(D26,Table1[#All],5,)</f>
        <v>7000</v>
      </c>
      <c r="J26" s="5">
        <f t="shared" si="0"/>
        <v>42500</v>
      </c>
      <c r="K26" s="5">
        <f t="shared" si="1"/>
        <v>7500</v>
      </c>
      <c r="L26" s="5" t="str">
        <f>VLOOKUP(C26,Table2[#All],2,)</f>
        <v>Jay Patel</v>
      </c>
      <c r="M26" s="5" t="str">
        <f>VLOOKUP(C26,Table2[#All],3,)</f>
        <v>West</v>
      </c>
      <c r="N26" s="5" t="str">
        <f>VLOOKUP(C26,Table2[#All],4,)</f>
        <v>Gujarat</v>
      </c>
    </row>
    <row r="27" spans="1:14" x14ac:dyDescent="0.35">
      <c r="A27" s="5">
        <v>1026</v>
      </c>
      <c r="B27" s="6">
        <v>45683</v>
      </c>
      <c r="C27" s="5" t="s">
        <v>145</v>
      </c>
      <c r="D27" s="5" t="s">
        <v>67</v>
      </c>
      <c r="E27" s="5">
        <v>3</v>
      </c>
      <c r="F27" s="5" t="str">
        <f>VLOOKUP(D27,Table1[#All],2,0)</f>
        <v>Whiteboard</v>
      </c>
      <c r="G27" s="5" t="str">
        <f>VLOOKUP(D27,Table1[#All],3,0)</f>
        <v>Stationery</v>
      </c>
      <c r="H27" s="5">
        <f>VLOOKUP(D27,Table1[#All],4,)</f>
        <v>2500</v>
      </c>
      <c r="I27" s="5">
        <f>VLOOKUP(D27,Table1[#All],5,)</f>
        <v>1900</v>
      </c>
      <c r="J27" s="5">
        <f t="shared" si="0"/>
        <v>7500</v>
      </c>
      <c r="K27" s="5">
        <f t="shared" si="1"/>
        <v>1800</v>
      </c>
      <c r="L27" s="5" t="str">
        <f>VLOOKUP(C27,Table2[#All],2,)</f>
        <v>Krunal Shah</v>
      </c>
      <c r="M27" s="5" t="str">
        <f>VLOOKUP(C27,Table2[#All],3,)</f>
        <v>West</v>
      </c>
      <c r="N27" s="5" t="str">
        <f>VLOOKUP(C27,Table2[#All],4,)</f>
        <v>Gujarat</v>
      </c>
    </row>
    <row r="28" spans="1:14" x14ac:dyDescent="0.35">
      <c r="A28" s="5">
        <v>1027</v>
      </c>
      <c r="B28" s="6">
        <v>45684</v>
      </c>
      <c r="C28" s="5" t="s">
        <v>147</v>
      </c>
      <c r="D28" s="5" t="s">
        <v>69</v>
      </c>
      <c r="E28" s="5">
        <v>2</v>
      </c>
      <c r="F28" s="5" t="str">
        <f>VLOOKUP(D28,Table1[#All],2,0)</f>
        <v>Headphones</v>
      </c>
      <c r="G28" s="5" t="str">
        <f>VLOOKUP(D28,Table1[#All],3,0)</f>
        <v>Electronics</v>
      </c>
      <c r="H28" s="5">
        <f>VLOOKUP(D28,Table1[#All],4,)</f>
        <v>3500</v>
      </c>
      <c r="I28" s="5">
        <f>VLOOKUP(D28,Table1[#All],5,)</f>
        <v>2800</v>
      </c>
      <c r="J28" s="5">
        <f t="shared" si="0"/>
        <v>7000</v>
      </c>
      <c r="K28" s="5">
        <f t="shared" si="1"/>
        <v>1400</v>
      </c>
      <c r="L28" s="5" t="str">
        <f>VLOOKUP(C28,Table2[#All],2,)</f>
        <v>Aisha Khan</v>
      </c>
      <c r="M28" s="5" t="str">
        <f>VLOOKUP(C28,Table2[#All],3,)</f>
        <v>North</v>
      </c>
      <c r="N28" s="5" t="str">
        <f>VLOOKUP(C28,Table2[#All],4,)</f>
        <v>Delhi</v>
      </c>
    </row>
    <row r="29" spans="1:14" x14ac:dyDescent="0.35">
      <c r="A29" s="5">
        <v>1028</v>
      </c>
      <c r="B29" s="6">
        <v>45685</v>
      </c>
      <c r="C29" s="5" t="s">
        <v>149</v>
      </c>
      <c r="D29" s="5" t="s">
        <v>71</v>
      </c>
      <c r="E29" s="5">
        <v>5</v>
      </c>
      <c r="F29" s="5" t="str">
        <f>VLOOKUP(D29,Table1[#All],2,0)</f>
        <v>Coffee Mug</v>
      </c>
      <c r="G29" s="5" t="str">
        <f>VLOOKUP(D29,Table1[#All],3,0)</f>
        <v>Accessories</v>
      </c>
      <c r="H29" s="5">
        <f>VLOOKUP(D29,Table1[#All],4,)</f>
        <v>350</v>
      </c>
      <c r="I29" s="5">
        <f>VLOOKUP(D29,Table1[#All],5,)</f>
        <v>220</v>
      </c>
      <c r="J29" s="5">
        <f t="shared" si="0"/>
        <v>1750</v>
      </c>
      <c r="K29" s="5">
        <f t="shared" si="1"/>
        <v>650</v>
      </c>
      <c r="L29" s="5" t="str">
        <f>VLOOKUP(C29,Table2[#All],2,)</f>
        <v>Manish Verma</v>
      </c>
      <c r="M29" s="5" t="str">
        <f>VLOOKUP(C29,Table2[#All],3,)</f>
        <v>North</v>
      </c>
      <c r="N29" s="5" t="str">
        <f>VLOOKUP(C29,Table2[#All],4,)</f>
        <v>Haryana</v>
      </c>
    </row>
    <row r="30" spans="1:14" x14ac:dyDescent="0.35">
      <c r="A30" s="5">
        <v>1029</v>
      </c>
      <c r="B30" s="6">
        <v>45686</v>
      </c>
      <c r="C30" s="5" t="s">
        <v>151</v>
      </c>
      <c r="D30" s="5" t="s">
        <v>73</v>
      </c>
      <c r="E30" s="5">
        <v>2</v>
      </c>
      <c r="F30" s="5" t="str">
        <f>VLOOKUP(D30,Table1[#All],2,0)</f>
        <v>Extension Board</v>
      </c>
      <c r="G30" s="5" t="str">
        <f>VLOOKUP(D30,Table1[#All],3,0)</f>
        <v>Electronics</v>
      </c>
      <c r="H30" s="5">
        <f>VLOOKUP(D30,Table1[#All],4,)</f>
        <v>750</v>
      </c>
      <c r="I30" s="5">
        <f>VLOOKUP(D30,Table1[#All],5,)</f>
        <v>550</v>
      </c>
      <c r="J30" s="5">
        <f t="shared" si="0"/>
        <v>1500</v>
      </c>
      <c r="K30" s="5">
        <f t="shared" si="1"/>
        <v>400</v>
      </c>
      <c r="L30" s="5" t="str">
        <f>VLOOKUP(C30,Table2[#All],2,)</f>
        <v>Rohan Jain</v>
      </c>
      <c r="M30" s="5" t="str">
        <f>VLOOKUP(C30,Table2[#All],3,)</f>
        <v>West</v>
      </c>
      <c r="N30" s="5" t="str">
        <f>VLOOKUP(C30,Table2[#All],4,)</f>
        <v>Rajasthan</v>
      </c>
    </row>
    <row r="31" spans="1:14" x14ac:dyDescent="0.35">
      <c r="A31" s="5">
        <v>1030</v>
      </c>
      <c r="B31" s="6">
        <v>45687</v>
      </c>
      <c r="C31" s="5" t="s">
        <v>153</v>
      </c>
      <c r="D31" s="5" t="s">
        <v>75</v>
      </c>
      <c r="E31" s="5">
        <v>1</v>
      </c>
      <c r="F31" s="5" t="str">
        <f>VLOOKUP(D31,Table1[#All],2,0)</f>
        <v>Mouse Pad</v>
      </c>
      <c r="G31" s="5" t="str">
        <f>VLOOKUP(D31,Table1[#All],3,0)</f>
        <v>Accessories</v>
      </c>
      <c r="H31" s="5">
        <f>VLOOKUP(D31,Table1[#All],4,)</f>
        <v>250</v>
      </c>
      <c r="I31" s="5">
        <f>VLOOKUP(D31,Table1[#All],5,)</f>
        <v>150</v>
      </c>
      <c r="J31" s="5">
        <f t="shared" si="0"/>
        <v>250</v>
      </c>
      <c r="K31" s="5">
        <f t="shared" si="1"/>
        <v>100</v>
      </c>
      <c r="L31" s="5" t="str">
        <f>VLOOKUP(C31,Table2[#All],2,)</f>
        <v>Priti Sharma</v>
      </c>
      <c r="M31" s="5" t="str">
        <f>VLOOKUP(C31,Table2[#All],3,)</f>
        <v>East</v>
      </c>
      <c r="N31" s="5" t="str">
        <f>VLOOKUP(C31,Table2[#All],4,)</f>
        <v>Bihar</v>
      </c>
    </row>
    <row r="32" spans="1:14" x14ac:dyDescent="0.35">
      <c r="A32" s="5">
        <v>1031</v>
      </c>
      <c r="B32" s="6">
        <v>45688</v>
      </c>
      <c r="C32" s="5" t="s">
        <v>77</v>
      </c>
      <c r="D32" s="5" t="s">
        <v>13</v>
      </c>
      <c r="E32" s="5">
        <v>5</v>
      </c>
      <c r="F32" s="5" t="str">
        <f>VLOOKUP(D32,Table1[#All],2,0)</f>
        <v>Laptop</v>
      </c>
      <c r="G32" s="5" t="str">
        <f>VLOOKUP(D32,Table1[#All],3,0)</f>
        <v>Electronics</v>
      </c>
      <c r="H32" s="5">
        <f>VLOOKUP(D32,Table1[#All],4,)</f>
        <v>50000</v>
      </c>
      <c r="I32" s="5">
        <f>VLOOKUP(D32,Table1[#All],5,)</f>
        <v>42000</v>
      </c>
      <c r="J32" s="5">
        <f t="shared" si="0"/>
        <v>250000</v>
      </c>
      <c r="K32" s="5">
        <f t="shared" si="1"/>
        <v>40000</v>
      </c>
      <c r="L32" s="5" t="str">
        <f>VLOOKUP(C32,Table2[#All],2,)</f>
        <v>Amit Patel</v>
      </c>
      <c r="M32" s="5" t="str">
        <f>VLOOKUP(C32,Table2[#All],3,)</f>
        <v>West</v>
      </c>
      <c r="N32" s="5" t="str">
        <f>VLOOKUP(C32,Table2[#All],4,)</f>
        <v>Gujarat</v>
      </c>
    </row>
    <row r="33" spans="1:14" x14ac:dyDescent="0.35">
      <c r="A33" s="5">
        <v>1032</v>
      </c>
      <c r="B33" s="6">
        <v>45689</v>
      </c>
      <c r="C33" s="5" t="s">
        <v>81</v>
      </c>
      <c r="D33" s="5" t="s">
        <v>16</v>
      </c>
      <c r="E33" s="5">
        <v>4</v>
      </c>
      <c r="F33" s="5" t="str">
        <f>VLOOKUP(D33,Table1[#All],2,0)</f>
        <v>Mouse</v>
      </c>
      <c r="G33" s="5" t="str">
        <f>VLOOKUP(D33,Table1[#All],3,0)</f>
        <v>Electronics</v>
      </c>
      <c r="H33" s="5">
        <f>VLOOKUP(D33,Table1[#All],4,)</f>
        <v>800</v>
      </c>
      <c r="I33" s="5">
        <f>VLOOKUP(D33,Table1[#All],5,)</f>
        <v>500</v>
      </c>
      <c r="J33" s="5">
        <f t="shared" si="0"/>
        <v>3200</v>
      </c>
      <c r="K33" s="5">
        <f t="shared" si="1"/>
        <v>1200</v>
      </c>
      <c r="L33" s="5" t="str">
        <f>VLOOKUP(C33,Table2[#All],2,)</f>
        <v>Rahul Shah</v>
      </c>
      <c r="M33" s="5" t="str">
        <f>VLOOKUP(C33,Table2[#All],3,)</f>
        <v>West</v>
      </c>
      <c r="N33" s="5" t="str">
        <f>VLOOKUP(C33,Table2[#All],4,)</f>
        <v>Gujarat</v>
      </c>
    </row>
    <row r="34" spans="1:14" x14ac:dyDescent="0.35">
      <c r="A34" s="5">
        <v>1033</v>
      </c>
      <c r="B34" s="6">
        <v>45690</v>
      </c>
      <c r="C34" s="5" t="s">
        <v>83</v>
      </c>
      <c r="D34" s="5" t="s">
        <v>18</v>
      </c>
      <c r="E34" s="5">
        <v>2</v>
      </c>
      <c r="F34" s="5" t="str">
        <f>VLOOKUP(D34,Table1[#All],2,0)</f>
        <v>Keyboard</v>
      </c>
      <c r="G34" s="5" t="str">
        <f>VLOOKUP(D34,Table1[#All],3,0)</f>
        <v>Electronics</v>
      </c>
      <c r="H34" s="5">
        <f>VLOOKUP(D34,Table1[#All],4,)</f>
        <v>1200</v>
      </c>
      <c r="I34" s="5">
        <f>VLOOKUP(D34,Table1[#All],5,)</f>
        <v>850</v>
      </c>
      <c r="J34" s="5">
        <f t="shared" ref="J34:J65" si="2">PRODUCT(H34,E34)</f>
        <v>2400</v>
      </c>
      <c r="K34" s="5">
        <f t="shared" ref="K34:K65" si="3">J34-(I34*E34)</f>
        <v>700</v>
      </c>
      <c r="L34" s="5" t="str">
        <f>VLOOKUP(C34,Table2[#All],2,)</f>
        <v>Neha Patel</v>
      </c>
      <c r="M34" s="5" t="str">
        <f>VLOOKUP(C34,Table2[#All],3,)</f>
        <v>West</v>
      </c>
      <c r="N34" s="5" t="str">
        <f>VLOOKUP(C34,Table2[#All],4,)</f>
        <v>Gujarat</v>
      </c>
    </row>
    <row r="35" spans="1:14" x14ac:dyDescent="0.35">
      <c r="A35" s="5">
        <v>1034</v>
      </c>
      <c r="B35" s="6">
        <v>45691</v>
      </c>
      <c r="C35" s="5" t="s">
        <v>85</v>
      </c>
      <c r="D35" s="5" t="s">
        <v>20</v>
      </c>
      <c r="E35" s="5">
        <v>4</v>
      </c>
      <c r="F35" s="5" t="str">
        <f>VLOOKUP(D35,Table1[#All],2,0)</f>
        <v>Monitor</v>
      </c>
      <c r="G35" s="5" t="str">
        <f>VLOOKUP(D35,Table1[#All],3,0)</f>
        <v>Electronics</v>
      </c>
      <c r="H35" s="5">
        <f>VLOOKUP(D35,Table1[#All],4,)</f>
        <v>15000</v>
      </c>
      <c r="I35" s="5">
        <f>VLOOKUP(D35,Table1[#All],5,)</f>
        <v>12500</v>
      </c>
      <c r="J35" s="5">
        <f t="shared" si="2"/>
        <v>60000</v>
      </c>
      <c r="K35" s="5">
        <f t="shared" si="3"/>
        <v>10000</v>
      </c>
      <c r="L35" s="5" t="str">
        <f>VLOOKUP(C35,Table2[#All],2,)</f>
        <v>Priya Mehta</v>
      </c>
      <c r="M35" s="5" t="str">
        <f>VLOOKUP(C35,Table2[#All],3,)</f>
        <v>West</v>
      </c>
      <c r="N35" s="5" t="str">
        <f>VLOOKUP(C35,Table2[#All],4,)</f>
        <v>Maharashtra</v>
      </c>
    </row>
    <row r="36" spans="1:14" x14ac:dyDescent="0.35">
      <c r="A36" s="5">
        <v>1035</v>
      </c>
      <c r="B36" s="6">
        <v>45692</v>
      </c>
      <c r="C36" s="5" t="s">
        <v>88</v>
      </c>
      <c r="D36" s="5" t="s">
        <v>22</v>
      </c>
      <c r="E36" s="5">
        <v>2</v>
      </c>
      <c r="F36" s="5" t="str">
        <f>VLOOKUP(D36,Table1[#All],2,0)</f>
        <v>Printer</v>
      </c>
      <c r="G36" s="5" t="str">
        <f>VLOOKUP(D36,Table1[#All],3,0)</f>
        <v>Electronics</v>
      </c>
      <c r="H36" s="5">
        <f>VLOOKUP(D36,Table1[#All],4,)</f>
        <v>9000</v>
      </c>
      <c r="I36" s="5">
        <f>VLOOKUP(D36,Table1[#All],5,)</f>
        <v>7600</v>
      </c>
      <c r="J36" s="5">
        <f t="shared" si="2"/>
        <v>18000</v>
      </c>
      <c r="K36" s="5">
        <f t="shared" si="3"/>
        <v>2800</v>
      </c>
      <c r="L36" s="5" t="str">
        <f>VLOOKUP(C36,Table2[#All],2,)</f>
        <v>Karan Joshi</v>
      </c>
      <c r="M36" s="5" t="str">
        <f>VLOOKUP(C36,Table2[#All],3,)</f>
        <v>West</v>
      </c>
      <c r="N36" s="5" t="str">
        <f>VLOOKUP(C36,Table2[#All],4,)</f>
        <v>Maharashtra</v>
      </c>
    </row>
    <row r="37" spans="1:14" x14ac:dyDescent="0.35">
      <c r="A37" s="5">
        <v>1036</v>
      </c>
      <c r="B37" s="6">
        <v>45693</v>
      </c>
      <c r="C37" s="5" t="s">
        <v>90</v>
      </c>
      <c r="D37" s="5" t="s">
        <v>24</v>
      </c>
      <c r="E37" s="5">
        <v>4</v>
      </c>
      <c r="F37" s="5" t="str">
        <f>VLOOKUP(D37,Table1[#All],2,0)</f>
        <v>Mobile</v>
      </c>
      <c r="G37" s="5" t="str">
        <f>VLOOKUP(D37,Table1[#All],3,0)</f>
        <v>Electronics</v>
      </c>
      <c r="H37" s="5">
        <f>VLOOKUP(D37,Table1[#All],4,)</f>
        <v>25000</v>
      </c>
      <c r="I37" s="5">
        <f>VLOOKUP(D37,Table1[#All],5,)</f>
        <v>21000</v>
      </c>
      <c r="J37" s="5">
        <f t="shared" si="2"/>
        <v>100000</v>
      </c>
      <c r="K37" s="5">
        <f t="shared" si="3"/>
        <v>16000</v>
      </c>
      <c r="L37" s="5" t="str">
        <f>VLOOKUP(C37,Table2[#All],2,)</f>
        <v>Riya Desai</v>
      </c>
      <c r="M37" s="5" t="str">
        <f>VLOOKUP(C37,Table2[#All],3,)</f>
        <v>West</v>
      </c>
      <c r="N37" s="5" t="str">
        <f>VLOOKUP(C37,Table2[#All],4,)</f>
        <v>Rajasthan</v>
      </c>
    </row>
    <row r="38" spans="1:14" x14ac:dyDescent="0.35">
      <c r="A38" s="5">
        <v>1037</v>
      </c>
      <c r="B38" s="6">
        <v>45694</v>
      </c>
      <c r="C38" s="5" t="s">
        <v>93</v>
      </c>
      <c r="D38" s="5" t="s">
        <v>26</v>
      </c>
      <c r="E38" s="5">
        <v>3</v>
      </c>
      <c r="F38" s="5" t="str">
        <f>VLOOKUP(D38,Table1[#All],2,0)</f>
        <v>Earbuds</v>
      </c>
      <c r="G38" s="5" t="str">
        <f>VLOOKUP(D38,Table1[#All],3,0)</f>
        <v>Electronics</v>
      </c>
      <c r="H38" s="5">
        <f>VLOOKUP(D38,Table1[#All],4,)</f>
        <v>2000</v>
      </c>
      <c r="I38" s="5">
        <f>VLOOKUP(D38,Table1[#All],5,)</f>
        <v>1500</v>
      </c>
      <c r="J38" s="5">
        <f t="shared" si="2"/>
        <v>6000</v>
      </c>
      <c r="K38" s="5">
        <f t="shared" si="3"/>
        <v>1500</v>
      </c>
      <c r="L38" s="5" t="str">
        <f>VLOOKUP(C38,Table2[#All],2,)</f>
        <v>Mohit Singh</v>
      </c>
      <c r="M38" s="5" t="str">
        <f>VLOOKUP(C38,Table2[#All],3,)</f>
        <v>North</v>
      </c>
      <c r="N38" s="5" t="str">
        <f>VLOOKUP(C38,Table2[#All],4,)</f>
        <v>Delhi</v>
      </c>
    </row>
    <row r="39" spans="1:14" x14ac:dyDescent="0.35">
      <c r="A39" s="5">
        <v>1038</v>
      </c>
      <c r="B39" s="6">
        <v>45695</v>
      </c>
      <c r="C39" s="5" t="s">
        <v>97</v>
      </c>
      <c r="D39" s="5" t="s">
        <v>28</v>
      </c>
      <c r="E39" s="5">
        <v>4</v>
      </c>
      <c r="F39" s="5" t="str">
        <f>VLOOKUP(D39,Table1[#All],2,0)</f>
        <v>Smart Watch</v>
      </c>
      <c r="G39" s="5" t="str">
        <f>VLOOKUP(D39,Table1[#All],3,0)</f>
        <v>Electronics</v>
      </c>
      <c r="H39" s="5">
        <f>VLOOKUP(D39,Table1[#All],4,)</f>
        <v>6000</v>
      </c>
      <c r="I39" s="5">
        <f>VLOOKUP(D39,Table1[#All],5,)</f>
        <v>5000</v>
      </c>
      <c r="J39" s="5">
        <f t="shared" si="2"/>
        <v>24000</v>
      </c>
      <c r="K39" s="5">
        <f t="shared" si="3"/>
        <v>4000</v>
      </c>
      <c r="L39" s="5" t="str">
        <f>VLOOKUP(C39,Table2[#All],2,)</f>
        <v>Anjali Verma</v>
      </c>
      <c r="M39" s="5" t="str">
        <f>VLOOKUP(C39,Table2[#All],3,)</f>
        <v>North</v>
      </c>
      <c r="N39" s="5" t="str">
        <f>VLOOKUP(C39,Table2[#All],4,)</f>
        <v>Delhi</v>
      </c>
    </row>
    <row r="40" spans="1:14" x14ac:dyDescent="0.35">
      <c r="A40" s="5">
        <v>1039</v>
      </c>
      <c r="B40" s="6">
        <v>45696</v>
      </c>
      <c r="C40" s="5" t="s">
        <v>99</v>
      </c>
      <c r="D40" s="5" t="s">
        <v>30</v>
      </c>
      <c r="E40" s="5">
        <v>2</v>
      </c>
      <c r="F40" s="5" t="str">
        <f>VLOOKUP(D40,Table1[#All],2,0)</f>
        <v>Chair</v>
      </c>
      <c r="G40" s="5" t="str">
        <f>VLOOKUP(D40,Table1[#All],3,0)</f>
        <v>Furniture</v>
      </c>
      <c r="H40" s="5">
        <f>VLOOKUP(D40,Table1[#All],4,)</f>
        <v>3500</v>
      </c>
      <c r="I40" s="5">
        <f>VLOOKUP(D40,Table1[#All],5,)</f>
        <v>2800</v>
      </c>
      <c r="J40" s="5">
        <f t="shared" si="2"/>
        <v>7000</v>
      </c>
      <c r="K40" s="5">
        <f t="shared" si="3"/>
        <v>1400</v>
      </c>
      <c r="L40" s="5" t="str">
        <f>VLOOKUP(C40,Table2[#All],2,)</f>
        <v>Rohit Kumar</v>
      </c>
      <c r="M40" s="5" t="str">
        <f>VLOOKUP(C40,Table2[#All],3,)</f>
        <v>North</v>
      </c>
      <c r="N40" s="5" t="str">
        <f>VLOOKUP(C40,Table2[#All],4,)</f>
        <v>Punjab</v>
      </c>
    </row>
    <row r="41" spans="1:14" x14ac:dyDescent="0.35">
      <c r="A41" s="5">
        <v>1040</v>
      </c>
      <c r="B41" s="6">
        <v>45697</v>
      </c>
      <c r="C41" s="5" t="s">
        <v>102</v>
      </c>
      <c r="D41" s="5" t="s">
        <v>33</v>
      </c>
      <c r="E41" s="5">
        <v>5</v>
      </c>
      <c r="F41" s="5" t="str">
        <f>VLOOKUP(D41,Table1[#All],2,0)</f>
        <v>Table</v>
      </c>
      <c r="G41" s="5" t="str">
        <f>VLOOKUP(D41,Table1[#All],3,0)</f>
        <v>Furniture</v>
      </c>
      <c r="H41" s="5">
        <f>VLOOKUP(D41,Table1[#All],4,)</f>
        <v>7000</v>
      </c>
      <c r="I41" s="5">
        <f>VLOOKUP(D41,Table1[#All],5,)</f>
        <v>5800</v>
      </c>
      <c r="J41" s="5">
        <f t="shared" si="2"/>
        <v>35000</v>
      </c>
      <c r="K41" s="5">
        <f t="shared" si="3"/>
        <v>6000</v>
      </c>
      <c r="L41" s="5" t="str">
        <f>VLOOKUP(C41,Table2[#All],2,)</f>
        <v>Simran Kaur</v>
      </c>
      <c r="M41" s="5" t="str">
        <f>VLOOKUP(C41,Table2[#All],3,)</f>
        <v>North</v>
      </c>
      <c r="N41" s="5" t="str">
        <f>VLOOKUP(C41,Table2[#All],4,)</f>
        <v>Punjab</v>
      </c>
    </row>
    <row r="42" spans="1:14" x14ac:dyDescent="0.35">
      <c r="A42" s="5">
        <v>1041</v>
      </c>
      <c r="B42" s="6">
        <v>45698</v>
      </c>
      <c r="C42" s="5" t="s">
        <v>104</v>
      </c>
      <c r="D42" s="5" t="s">
        <v>35</v>
      </c>
      <c r="E42" s="5">
        <v>5</v>
      </c>
      <c r="F42" s="5" t="str">
        <f>VLOOKUP(D42,Table1[#All],2,0)</f>
        <v>Sofa</v>
      </c>
      <c r="G42" s="5" t="str">
        <f>VLOOKUP(D42,Table1[#All],3,0)</f>
        <v>Furniture</v>
      </c>
      <c r="H42" s="5">
        <f>VLOOKUP(D42,Table1[#All],4,)</f>
        <v>25000</v>
      </c>
      <c r="I42" s="5">
        <f>VLOOKUP(D42,Table1[#All],5,)</f>
        <v>21000</v>
      </c>
      <c r="J42" s="5">
        <f t="shared" si="2"/>
        <v>125000</v>
      </c>
      <c r="K42" s="5">
        <f t="shared" si="3"/>
        <v>20000</v>
      </c>
      <c r="L42" s="5" t="str">
        <f>VLOOKUP(C42,Table2[#All],2,)</f>
        <v>Arjun Sharma</v>
      </c>
      <c r="M42" s="5" t="str">
        <f>VLOOKUP(C42,Table2[#All],3,)</f>
        <v>North</v>
      </c>
      <c r="N42" s="5" t="str">
        <f>VLOOKUP(C42,Table2[#All],4,)</f>
        <v>Haryana</v>
      </c>
    </row>
    <row r="43" spans="1:14" x14ac:dyDescent="0.35">
      <c r="A43" s="5">
        <v>1042</v>
      </c>
      <c r="B43" s="6">
        <v>45699</v>
      </c>
      <c r="C43" s="5" t="s">
        <v>107</v>
      </c>
      <c r="D43" s="5" t="s">
        <v>37</v>
      </c>
      <c r="E43" s="5">
        <v>4</v>
      </c>
      <c r="F43" s="5" t="str">
        <f>VLOOKUP(D43,Table1[#All],2,0)</f>
        <v>Cupboard</v>
      </c>
      <c r="G43" s="5" t="str">
        <f>VLOOKUP(D43,Table1[#All],3,0)</f>
        <v>Furniture</v>
      </c>
      <c r="H43" s="5">
        <f>VLOOKUP(D43,Table1[#All],4,)</f>
        <v>18000</v>
      </c>
      <c r="I43" s="5">
        <f>VLOOKUP(D43,Table1[#All],5,)</f>
        <v>15000</v>
      </c>
      <c r="J43" s="5">
        <f t="shared" si="2"/>
        <v>72000</v>
      </c>
      <c r="K43" s="5">
        <f t="shared" si="3"/>
        <v>12000</v>
      </c>
      <c r="L43" s="5" t="str">
        <f>VLOOKUP(C43,Table2[#All],2,)</f>
        <v>Sneha Gupta</v>
      </c>
      <c r="M43" s="5" t="str">
        <f>VLOOKUP(C43,Table2[#All],3,)</f>
        <v>North</v>
      </c>
      <c r="N43" s="5" t="str">
        <f>VLOOKUP(C43,Table2[#All],4,)</f>
        <v>Uttar Pradesh</v>
      </c>
    </row>
    <row r="44" spans="1:14" x14ac:dyDescent="0.35">
      <c r="A44" s="5">
        <v>1043</v>
      </c>
      <c r="B44" s="6">
        <v>45700</v>
      </c>
      <c r="C44" s="5" t="s">
        <v>110</v>
      </c>
      <c r="D44" s="5" t="s">
        <v>39</v>
      </c>
      <c r="E44" s="5">
        <v>3</v>
      </c>
      <c r="F44" s="5" t="str">
        <f>VLOOKUP(D44,Table1[#All],2,0)</f>
        <v>Bed</v>
      </c>
      <c r="G44" s="5" t="str">
        <f>VLOOKUP(D44,Table1[#All],3,0)</f>
        <v>Furniture</v>
      </c>
      <c r="H44" s="5">
        <f>VLOOKUP(D44,Table1[#All],4,)</f>
        <v>30000</v>
      </c>
      <c r="I44" s="5">
        <f>VLOOKUP(D44,Table1[#All],5,)</f>
        <v>25500</v>
      </c>
      <c r="J44" s="5">
        <f t="shared" si="2"/>
        <v>90000</v>
      </c>
      <c r="K44" s="5">
        <f t="shared" si="3"/>
        <v>13500</v>
      </c>
      <c r="L44" s="5" t="str">
        <f>VLOOKUP(C44,Table2[#All],2,)</f>
        <v>Vivek Yadav</v>
      </c>
      <c r="M44" s="5" t="str">
        <f>VLOOKUP(C44,Table2[#All],3,)</f>
        <v>North</v>
      </c>
      <c r="N44" s="5" t="str">
        <f>VLOOKUP(C44,Table2[#All],4,)</f>
        <v>Uttar Pradesh</v>
      </c>
    </row>
    <row r="45" spans="1:14" x14ac:dyDescent="0.35">
      <c r="A45" s="5">
        <v>1044</v>
      </c>
      <c r="B45" s="6">
        <v>45701</v>
      </c>
      <c r="C45" s="5" t="s">
        <v>112</v>
      </c>
      <c r="D45" s="5" t="s">
        <v>41</v>
      </c>
      <c r="E45" s="5">
        <v>4</v>
      </c>
      <c r="F45" s="5" t="str">
        <f>VLOOKUP(D45,Table1[#All],2,0)</f>
        <v>Notebook</v>
      </c>
      <c r="G45" s="5" t="str">
        <f>VLOOKUP(D45,Table1[#All],3,0)</f>
        <v>Stationery</v>
      </c>
      <c r="H45" s="5">
        <f>VLOOKUP(D45,Table1[#All],4,)</f>
        <v>80</v>
      </c>
      <c r="I45" s="5">
        <f>VLOOKUP(D45,Table1[#All],5,)</f>
        <v>50</v>
      </c>
      <c r="J45" s="5">
        <f t="shared" si="2"/>
        <v>320</v>
      </c>
      <c r="K45" s="5">
        <f t="shared" si="3"/>
        <v>120</v>
      </c>
      <c r="L45" s="5" t="str">
        <f>VLOOKUP(C45,Table2[#All],2,)</f>
        <v>Pooja Mishra</v>
      </c>
      <c r="M45" s="5" t="str">
        <f>VLOOKUP(C45,Table2[#All],3,)</f>
        <v>East</v>
      </c>
      <c r="N45" s="5" t="str">
        <f>VLOOKUP(C45,Table2[#All],4,)</f>
        <v>Bihar</v>
      </c>
    </row>
    <row r="46" spans="1:14" x14ac:dyDescent="0.35">
      <c r="A46" s="5">
        <v>1045</v>
      </c>
      <c r="B46" s="6">
        <v>45702</v>
      </c>
      <c r="C46" s="5" t="s">
        <v>116</v>
      </c>
      <c r="D46" s="5" t="s">
        <v>44</v>
      </c>
      <c r="E46" s="5">
        <v>4</v>
      </c>
      <c r="F46" s="5" t="str">
        <f>VLOOKUP(D46,Table1[#All],2,0)</f>
        <v>Pen</v>
      </c>
      <c r="G46" s="5" t="str">
        <f>VLOOKUP(D46,Table1[#All],3,0)</f>
        <v>Stationery</v>
      </c>
      <c r="H46" s="5">
        <f>VLOOKUP(D46,Table1[#All],4,)</f>
        <v>20</v>
      </c>
      <c r="I46" s="5">
        <f>VLOOKUP(D46,Table1[#All],5,)</f>
        <v>10</v>
      </c>
      <c r="J46" s="5">
        <f t="shared" si="2"/>
        <v>80</v>
      </c>
      <c r="K46" s="5">
        <f t="shared" si="3"/>
        <v>40</v>
      </c>
      <c r="L46" s="5" t="str">
        <f>VLOOKUP(C46,Table2[#All],2,)</f>
        <v>Rajesh Das</v>
      </c>
      <c r="M46" s="5" t="str">
        <f>VLOOKUP(C46,Table2[#All],3,)</f>
        <v>East</v>
      </c>
      <c r="N46" s="5" t="str">
        <f>VLOOKUP(C46,Table2[#All],4,)</f>
        <v>West Bengal</v>
      </c>
    </row>
    <row r="47" spans="1:14" x14ac:dyDescent="0.35">
      <c r="A47" s="5">
        <v>1046</v>
      </c>
      <c r="B47" s="6">
        <v>45703</v>
      </c>
      <c r="C47" s="5" t="s">
        <v>119</v>
      </c>
      <c r="D47" s="5" t="s">
        <v>46</v>
      </c>
      <c r="E47" s="5">
        <v>1</v>
      </c>
      <c r="F47" s="5" t="str">
        <f>VLOOKUP(D47,Table1[#All],2,0)</f>
        <v>Marker</v>
      </c>
      <c r="G47" s="5" t="str">
        <f>VLOOKUP(D47,Table1[#All],3,0)</f>
        <v>Stationery</v>
      </c>
      <c r="H47" s="5">
        <f>VLOOKUP(D47,Table1[#All],4,)</f>
        <v>40</v>
      </c>
      <c r="I47" s="5">
        <f>VLOOKUP(D47,Table1[#All],5,)</f>
        <v>25</v>
      </c>
      <c r="J47" s="5">
        <f t="shared" si="2"/>
        <v>40</v>
      </c>
      <c r="K47" s="5">
        <f t="shared" si="3"/>
        <v>15</v>
      </c>
      <c r="L47" s="5" t="str">
        <f>VLOOKUP(C47,Table2[#All],2,)</f>
        <v>Suman Roy</v>
      </c>
      <c r="M47" s="5" t="str">
        <f>VLOOKUP(C47,Table2[#All],3,)</f>
        <v>East</v>
      </c>
      <c r="N47" s="5" t="str">
        <f>VLOOKUP(C47,Table2[#All],4,)</f>
        <v>West Bengal</v>
      </c>
    </row>
    <row r="48" spans="1:14" x14ac:dyDescent="0.35">
      <c r="A48" s="5">
        <v>1047</v>
      </c>
      <c r="B48" s="6">
        <v>45704</v>
      </c>
      <c r="C48" s="5" t="s">
        <v>121</v>
      </c>
      <c r="D48" s="5" t="s">
        <v>48</v>
      </c>
      <c r="E48" s="5">
        <v>1</v>
      </c>
      <c r="F48" s="5" t="str">
        <f>VLOOKUP(D48,Table1[#All],2,0)</f>
        <v>File Folder</v>
      </c>
      <c r="G48" s="5" t="str">
        <f>VLOOKUP(D48,Table1[#All],3,0)</f>
        <v>Stationery</v>
      </c>
      <c r="H48" s="5">
        <f>VLOOKUP(D48,Table1[#All],4,)</f>
        <v>120</v>
      </c>
      <c r="I48" s="5">
        <f>VLOOKUP(D48,Table1[#All],5,)</f>
        <v>80</v>
      </c>
      <c r="J48" s="5">
        <f t="shared" si="2"/>
        <v>120</v>
      </c>
      <c r="K48" s="5">
        <f t="shared" si="3"/>
        <v>40</v>
      </c>
      <c r="L48" s="5" t="str">
        <f>VLOOKUP(C48,Table2[#All],2,)</f>
        <v>Ankita Ghosh</v>
      </c>
      <c r="M48" s="5" t="str">
        <f>VLOOKUP(C48,Table2[#All],3,)</f>
        <v>East</v>
      </c>
      <c r="N48" s="5" t="str">
        <f>VLOOKUP(C48,Table2[#All],4,)</f>
        <v>Odisha</v>
      </c>
    </row>
    <row r="49" spans="1:14" x14ac:dyDescent="0.35">
      <c r="A49" s="5">
        <v>1048</v>
      </c>
      <c r="B49" s="6">
        <v>45705</v>
      </c>
      <c r="C49" s="5" t="s">
        <v>124</v>
      </c>
      <c r="D49" s="5" t="s">
        <v>50</v>
      </c>
      <c r="E49" s="5">
        <v>2</v>
      </c>
      <c r="F49" s="5" t="str">
        <f>VLOOKUP(D49,Table1[#All],2,0)</f>
        <v>Backpack</v>
      </c>
      <c r="G49" s="5" t="str">
        <f>VLOOKUP(D49,Table1[#All],3,0)</f>
        <v>Accessories</v>
      </c>
      <c r="H49" s="5">
        <f>VLOOKUP(D49,Table1[#All],4,)</f>
        <v>1500</v>
      </c>
      <c r="I49" s="5">
        <f>VLOOKUP(D49,Table1[#All],5,)</f>
        <v>1100</v>
      </c>
      <c r="J49" s="5">
        <f t="shared" si="2"/>
        <v>3000</v>
      </c>
      <c r="K49" s="5">
        <f t="shared" si="3"/>
        <v>800</v>
      </c>
      <c r="L49" s="5" t="str">
        <f>VLOOKUP(C49,Table2[#All],2,)</f>
        <v>Deepak Nayak</v>
      </c>
      <c r="M49" s="5" t="str">
        <f>VLOOKUP(C49,Table2[#All],3,)</f>
        <v>East</v>
      </c>
      <c r="N49" s="5" t="str">
        <f>VLOOKUP(C49,Table2[#All],4,)</f>
        <v>Odisha</v>
      </c>
    </row>
    <row r="50" spans="1:14" x14ac:dyDescent="0.35">
      <c r="A50" s="5">
        <v>1049</v>
      </c>
      <c r="B50" s="6">
        <v>45706</v>
      </c>
      <c r="C50" s="5" t="s">
        <v>126</v>
      </c>
      <c r="D50" s="5" t="s">
        <v>53</v>
      </c>
      <c r="E50" s="5">
        <v>2</v>
      </c>
      <c r="F50" s="5" t="str">
        <f>VLOOKUP(D50,Table1[#All],2,0)</f>
        <v>Water Bottle</v>
      </c>
      <c r="G50" s="5" t="str">
        <f>VLOOKUP(D50,Table1[#All],3,0)</f>
        <v>Accessories</v>
      </c>
      <c r="H50" s="5">
        <f>VLOOKUP(D50,Table1[#All],4,)</f>
        <v>500</v>
      </c>
      <c r="I50" s="5">
        <f>VLOOKUP(D50,Table1[#All],5,)</f>
        <v>320</v>
      </c>
      <c r="J50" s="5">
        <f t="shared" si="2"/>
        <v>1000</v>
      </c>
      <c r="K50" s="5">
        <f t="shared" si="3"/>
        <v>360</v>
      </c>
      <c r="L50" s="5" t="str">
        <f>VLOOKUP(C50,Table2[#All],2,)</f>
        <v>Suresh Reddy</v>
      </c>
      <c r="M50" s="5" t="str">
        <f>VLOOKUP(C50,Table2[#All],3,)</f>
        <v>South</v>
      </c>
      <c r="N50" s="5" t="str">
        <f>VLOOKUP(C50,Table2[#All],4,)</f>
        <v>Telangana</v>
      </c>
    </row>
    <row r="51" spans="1:14" x14ac:dyDescent="0.35">
      <c r="A51" s="5">
        <v>1050</v>
      </c>
      <c r="B51" s="6">
        <v>45707</v>
      </c>
      <c r="C51" s="5" t="s">
        <v>130</v>
      </c>
      <c r="D51" s="5" t="s">
        <v>55</v>
      </c>
      <c r="E51" s="5">
        <v>3</v>
      </c>
      <c r="F51" s="5" t="str">
        <f>VLOOKUP(D51,Table1[#All],2,0)</f>
        <v>Lunch Box</v>
      </c>
      <c r="G51" s="5" t="str">
        <f>VLOOKUP(D51,Table1[#All],3,0)</f>
        <v>Accessories</v>
      </c>
      <c r="H51" s="5">
        <f>VLOOKUP(D51,Table1[#All],4,)</f>
        <v>700</v>
      </c>
      <c r="I51" s="5">
        <f>VLOOKUP(D51,Table1[#All],5,)</f>
        <v>480</v>
      </c>
      <c r="J51" s="5">
        <f t="shared" si="2"/>
        <v>2100</v>
      </c>
      <c r="K51" s="5">
        <f t="shared" si="3"/>
        <v>660</v>
      </c>
      <c r="L51" s="5" t="str">
        <f>VLOOKUP(C51,Table2[#All],2,)</f>
        <v>Kavya Rao</v>
      </c>
      <c r="M51" s="5" t="str">
        <f>VLOOKUP(C51,Table2[#All],3,)</f>
        <v>South</v>
      </c>
      <c r="N51" s="5" t="str">
        <f>VLOOKUP(C51,Table2[#All],4,)</f>
        <v>Karnataka</v>
      </c>
    </row>
    <row r="52" spans="1:14" x14ac:dyDescent="0.35">
      <c r="A52" s="5">
        <v>1051</v>
      </c>
      <c r="B52" s="6">
        <v>45708</v>
      </c>
      <c r="C52" s="5" t="s">
        <v>133</v>
      </c>
      <c r="D52" s="5" t="s">
        <v>57</v>
      </c>
      <c r="E52" s="5">
        <v>1</v>
      </c>
      <c r="F52" s="5" t="str">
        <f>VLOOKUP(D52,Table1[#All],2,0)</f>
        <v>Calculator</v>
      </c>
      <c r="G52" s="5" t="str">
        <f>VLOOKUP(D52,Table1[#All],3,0)</f>
        <v>Stationery</v>
      </c>
      <c r="H52" s="5">
        <f>VLOOKUP(D52,Table1[#All],4,)</f>
        <v>600</v>
      </c>
      <c r="I52" s="5">
        <f>VLOOKUP(D52,Table1[#All],5,)</f>
        <v>450</v>
      </c>
      <c r="J52" s="5">
        <f t="shared" si="2"/>
        <v>600</v>
      </c>
      <c r="K52" s="5">
        <f t="shared" si="3"/>
        <v>150</v>
      </c>
      <c r="L52" s="5" t="str">
        <f>VLOOKUP(C52,Table2[#All],2,)</f>
        <v>Nikhil Nair</v>
      </c>
      <c r="M52" s="5" t="str">
        <f>VLOOKUP(C52,Table2[#All],3,)</f>
        <v>South</v>
      </c>
      <c r="N52" s="5" t="str">
        <f>VLOOKUP(C52,Table2[#All],4,)</f>
        <v>Kerala</v>
      </c>
    </row>
    <row r="53" spans="1:14" x14ac:dyDescent="0.35">
      <c r="A53" s="5">
        <v>1052</v>
      </c>
      <c r="B53" s="6">
        <v>45709</v>
      </c>
      <c r="C53" s="5" t="s">
        <v>136</v>
      </c>
      <c r="D53" s="5" t="s">
        <v>59</v>
      </c>
      <c r="E53" s="5">
        <v>5</v>
      </c>
      <c r="F53" s="5" t="str">
        <f>VLOOKUP(D53,Table1[#All],2,0)</f>
        <v>USB Drive</v>
      </c>
      <c r="G53" s="5" t="str">
        <f>VLOOKUP(D53,Table1[#All],3,0)</f>
        <v>Electronics</v>
      </c>
      <c r="H53" s="5">
        <f>VLOOKUP(D53,Table1[#All],4,)</f>
        <v>900</v>
      </c>
      <c r="I53" s="5">
        <f>VLOOKUP(D53,Table1[#All],5,)</f>
        <v>650</v>
      </c>
      <c r="J53" s="5">
        <f t="shared" si="2"/>
        <v>4500</v>
      </c>
      <c r="K53" s="5">
        <f t="shared" si="3"/>
        <v>1250</v>
      </c>
      <c r="L53" s="5" t="str">
        <f>VLOOKUP(C53,Table2[#All],2,)</f>
        <v>Divya Iyer</v>
      </c>
      <c r="M53" s="5" t="str">
        <f>VLOOKUP(C53,Table2[#All],3,)</f>
        <v>South</v>
      </c>
      <c r="N53" s="5" t="str">
        <f>VLOOKUP(C53,Table2[#All],4,)</f>
        <v>Tamil Nadu</v>
      </c>
    </row>
    <row r="54" spans="1:14" x14ac:dyDescent="0.35">
      <c r="A54" s="5">
        <v>1053</v>
      </c>
      <c r="B54" s="6">
        <v>45710</v>
      </c>
      <c r="C54" s="5" t="s">
        <v>139</v>
      </c>
      <c r="D54" s="5" t="s">
        <v>61</v>
      </c>
      <c r="E54" s="5">
        <v>4</v>
      </c>
      <c r="F54" s="5" t="str">
        <f>VLOOKUP(D54,Table1[#All],2,0)</f>
        <v>Power Bank</v>
      </c>
      <c r="G54" s="5" t="str">
        <f>VLOOKUP(D54,Table1[#All],3,0)</f>
        <v>Electronics</v>
      </c>
      <c r="H54" s="5">
        <f>VLOOKUP(D54,Table1[#All],4,)</f>
        <v>1800</v>
      </c>
      <c r="I54" s="5">
        <f>VLOOKUP(D54,Table1[#All],5,)</f>
        <v>1400</v>
      </c>
      <c r="J54" s="5">
        <f t="shared" si="2"/>
        <v>7200</v>
      </c>
      <c r="K54" s="5">
        <f t="shared" si="3"/>
        <v>1600</v>
      </c>
      <c r="L54" s="5" t="str">
        <f>VLOOKUP(C54,Table2[#All],2,)</f>
        <v>Harish Kumar</v>
      </c>
      <c r="M54" s="5" t="str">
        <f>VLOOKUP(C54,Table2[#All],3,)</f>
        <v>South</v>
      </c>
      <c r="N54" s="5" t="str">
        <f>VLOOKUP(C54,Table2[#All],4,)</f>
        <v>Tamil Nadu</v>
      </c>
    </row>
    <row r="55" spans="1:14" x14ac:dyDescent="0.35">
      <c r="A55" s="5">
        <v>1054</v>
      </c>
      <c r="B55" s="6">
        <v>45711</v>
      </c>
      <c r="C55" s="5" t="s">
        <v>141</v>
      </c>
      <c r="D55" s="5" t="s">
        <v>63</v>
      </c>
      <c r="E55" s="5">
        <v>3</v>
      </c>
      <c r="F55" s="5" t="str">
        <f>VLOOKUP(D55,Table1[#All],2,0)</f>
        <v>Desk Lamp</v>
      </c>
      <c r="G55" s="5" t="str">
        <f>VLOOKUP(D55,Table1[#All],3,0)</f>
        <v>Furniture</v>
      </c>
      <c r="H55" s="5">
        <f>VLOOKUP(D55,Table1[#All],4,)</f>
        <v>2200</v>
      </c>
      <c r="I55" s="5">
        <f>VLOOKUP(D55,Table1[#All],5,)</f>
        <v>1700</v>
      </c>
      <c r="J55" s="5">
        <f t="shared" si="2"/>
        <v>6600</v>
      </c>
      <c r="K55" s="5">
        <f t="shared" si="3"/>
        <v>1500</v>
      </c>
      <c r="L55" s="5" t="str">
        <f>VLOOKUP(C55,Table2[#All],2,)</f>
        <v>Meera Pillai</v>
      </c>
      <c r="M55" s="5" t="str">
        <f>VLOOKUP(C55,Table2[#All],3,)</f>
        <v>South</v>
      </c>
      <c r="N55" s="5" t="str">
        <f>VLOOKUP(C55,Table2[#All],4,)</f>
        <v>Kerala</v>
      </c>
    </row>
    <row r="56" spans="1:14" x14ac:dyDescent="0.35">
      <c r="A56" s="5">
        <v>1055</v>
      </c>
      <c r="B56" s="6">
        <v>45712</v>
      </c>
      <c r="C56" s="5" t="s">
        <v>143</v>
      </c>
      <c r="D56" s="5" t="s">
        <v>65</v>
      </c>
      <c r="E56" s="5">
        <v>2</v>
      </c>
      <c r="F56" s="5" t="str">
        <f>VLOOKUP(D56,Table1[#All],2,0)</f>
        <v>Office Chair</v>
      </c>
      <c r="G56" s="5" t="str">
        <f>VLOOKUP(D56,Table1[#All],3,0)</f>
        <v>Furniture</v>
      </c>
      <c r="H56" s="5">
        <f>VLOOKUP(D56,Table1[#All],4,)</f>
        <v>8500</v>
      </c>
      <c r="I56" s="5">
        <f>VLOOKUP(D56,Table1[#All],5,)</f>
        <v>7000</v>
      </c>
      <c r="J56" s="5">
        <f t="shared" si="2"/>
        <v>17000</v>
      </c>
      <c r="K56" s="5">
        <f t="shared" si="3"/>
        <v>3000</v>
      </c>
      <c r="L56" s="5" t="str">
        <f>VLOOKUP(C56,Table2[#All],2,)</f>
        <v>Jay Patel</v>
      </c>
      <c r="M56" s="5" t="str">
        <f>VLOOKUP(C56,Table2[#All],3,)</f>
        <v>West</v>
      </c>
      <c r="N56" s="5" t="str">
        <f>VLOOKUP(C56,Table2[#All],4,)</f>
        <v>Gujarat</v>
      </c>
    </row>
    <row r="57" spans="1:14" x14ac:dyDescent="0.35">
      <c r="A57" s="5">
        <v>1056</v>
      </c>
      <c r="B57" s="6">
        <v>45713</v>
      </c>
      <c r="C57" s="5" t="s">
        <v>145</v>
      </c>
      <c r="D57" s="5" t="s">
        <v>67</v>
      </c>
      <c r="E57" s="5">
        <v>1</v>
      </c>
      <c r="F57" s="5" t="str">
        <f>VLOOKUP(D57,Table1[#All],2,0)</f>
        <v>Whiteboard</v>
      </c>
      <c r="G57" s="5" t="str">
        <f>VLOOKUP(D57,Table1[#All],3,0)</f>
        <v>Stationery</v>
      </c>
      <c r="H57" s="5">
        <f>VLOOKUP(D57,Table1[#All],4,)</f>
        <v>2500</v>
      </c>
      <c r="I57" s="5">
        <f>VLOOKUP(D57,Table1[#All],5,)</f>
        <v>1900</v>
      </c>
      <c r="J57" s="5">
        <f t="shared" si="2"/>
        <v>2500</v>
      </c>
      <c r="K57" s="5">
        <f t="shared" si="3"/>
        <v>600</v>
      </c>
      <c r="L57" s="5" t="str">
        <f>VLOOKUP(C57,Table2[#All],2,)</f>
        <v>Krunal Shah</v>
      </c>
      <c r="M57" s="5" t="str">
        <f>VLOOKUP(C57,Table2[#All],3,)</f>
        <v>West</v>
      </c>
      <c r="N57" s="5" t="str">
        <f>VLOOKUP(C57,Table2[#All],4,)</f>
        <v>Gujarat</v>
      </c>
    </row>
    <row r="58" spans="1:14" x14ac:dyDescent="0.35">
      <c r="A58" s="5">
        <v>1057</v>
      </c>
      <c r="B58" s="6">
        <v>45714</v>
      </c>
      <c r="C58" s="5" t="s">
        <v>147</v>
      </c>
      <c r="D58" s="5" t="s">
        <v>69</v>
      </c>
      <c r="E58" s="5">
        <v>2</v>
      </c>
      <c r="F58" s="5" t="str">
        <f>VLOOKUP(D58,Table1[#All],2,0)</f>
        <v>Headphones</v>
      </c>
      <c r="G58" s="5" t="str">
        <f>VLOOKUP(D58,Table1[#All],3,0)</f>
        <v>Electronics</v>
      </c>
      <c r="H58" s="5">
        <f>VLOOKUP(D58,Table1[#All],4,)</f>
        <v>3500</v>
      </c>
      <c r="I58" s="5">
        <f>VLOOKUP(D58,Table1[#All],5,)</f>
        <v>2800</v>
      </c>
      <c r="J58" s="5">
        <f t="shared" si="2"/>
        <v>7000</v>
      </c>
      <c r="K58" s="5">
        <f t="shared" si="3"/>
        <v>1400</v>
      </c>
      <c r="L58" s="5" t="str">
        <f>VLOOKUP(C58,Table2[#All],2,)</f>
        <v>Aisha Khan</v>
      </c>
      <c r="M58" s="5" t="str">
        <f>VLOOKUP(C58,Table2[#All],3,)</f>
        <v>North</v>
      </c>
      <c r="N58" s="5" t="str">
        <f>VLOOKUP(C58,Table2[#All],4,)</f>
        <v>Delhi</v>
      </c>
    </row>
    <row r="59" spans="1:14" x14ac:dyDescent="0.35">
      <c r="A59" s="5">
        <v>1058</v>
      </c>
      <c r="B59" s="6">
        <v>45715</v>
      </c>
      <c r="C59" s="5" t="s">
        <v>149</v>
      </c>
      <c r="D59" s="5" t="s">
        <v>71</v>
      </c>
      <c r="E59" s="5">
        <v>1</v>
      </c>
      <c r="F59" s="5" t="str">
        <f>VLOOKUP(D59,Table1[#All],2,0)</f>
        <v>Coffee Mug</v>
      </c>
      <c r="G59" s="5" t="str">
        <f>VLOOKUP(D59,Table1[#All],3,0)</f>
        <v>Accessories</v>
      </c>
      <c r="H59" s="5">
        <f>VLOOKUP(D59,Table1[#All],4,)</f>
        <v>350</v>
      </c>
      <c r="I59" s="5">
        <f>VLOOKUP(D59,Table1[#All],5,)</f>
        <v>220</v>
      </c>
      <c r="J59" s="5">
        <f t="shared" si="2"/>
        <v>350</v>
      </c>
      <c r="K59" s="5">
        <f t="shared" si="3"/>
        <v>130</v>
      </c>
      <c r="L59" s="5" t="str">
        <f>VLOOKUP(C59,Table2[#All],2,)</f>
        <v>Manish Verma</v>
      </c>
      <c r="M59" s="5" t="str">
        <f>VLOOKUP(C59,Table2[#All],3,)</f>
        <v>North</v>
      </c>
      <c r="N59" s="5" t="str">
        <f>VLOOKUP(C59,Table2[#All],4,)</f>
        <v>Haryana</v>
      </c>
    </row>
    <row r="60" spans="1:14" x14ac:dyDescent="0.35">
      <c r="A60" s="5">
        <v>1059</v>
      </c>
      <c r="B60" s="6">
        <v>45716</v>
      </c>
      <c r="C60" s="5" t="s">
        <v>151</v>
      </c>
      <c r="D60" s="5" t="s">
        <v>73</v>
      </c>
      <c r="E60" s="5">
        <v>1</v>
      </c>
      <c r="F60" s="5" t="str">
        <f>VLOOKUP(D60,Table1[#All],2,0)</f>
        <v>Extension Board</v>
      </c>
      <c r="G60" s="5" t="str">
        <f>VLOOKUP(D60,Table1[#All],3,0)</f>
        <v>Electronics</v>
      </c>
      <c r="H60" s="5">
        <f>VLOOKUP(D60,Table1[#All],4,)</f>
        <v>750</v>
      </c>
      <c r="I60" s="5">
        <f>VLOOKUP(D60,Table1[#All],5,)</f>
        <v>550</v>
      </c>
      <c r="J60" s="5">
        <f t="shared" si="2"/>
        <v>750</v>
      </c>
      <c r="K60" s="5">
        <f t="shared" si="3"/>
        <v>200</v>
      </c>
      <c r="L60" s="5" t="str">
        <f>VLOOKUP(C60,Table2[#All],2,)</f>
        <v>Rohan Jain</v>
      </c>
      <c r="M60" s="5" t="str">
        <f>VLOOKUP(C60,Table2[#All],3,)</f>
        <v>West</v>
      </c>
      <c r="N60" s="5" t="str">
        <f>VLOOKUP(C60,Table2[#All],4,)</f>
        <v>Rajasthan</v>
      </c>
    </row>
    <row r="61" spans="1:14" x14ac:dyDescent="0.35">
      <c r="A61" s="5">
        <v>1060</v>
      </c>
      <c r="B61" s="6">
        <v>45717</v>
      </c>
      <c r="C61" s="5" t="s">
        <v>153</v>
      </c>
      <c r="D61" s="5" t="s">
        <v>75</v>
      </c>
      <c r="E61" s="5">
        <v>3</v>
      </c>
      <c r="F61" s="5" t="str">
        <f>VLOOKUP(D61,Table1[#All],2,0)</f>
        <v>Mouse Pad</v>
      </c>
      <c r="G61" s="5" t="str">
        <f>VLOOKUP(D61,Table1[#All],3,0)</f>
        <v>Accessories</v>
      </c>
      <c r="H61" s="5">
        <f>VLOOKUP(D61,Table1[#All],4,)</f>
        <v>250</v>
      </c>
      <c r="I61" s="5">
        <f>VLOOKUP(D61,Table1[#All],5,)</f>
        <v>150</v>
      </c>
      <c r="J61" s="5">
        <f t="shared" si="2"/>
        <v>750</v>
      </c>
      <c r="K61" s="5">
        <f t="shared" si="3"/>
        <v>300</v>
      </c>
      <c r="L61" s="5" t="str">
        <f>VLOOKUP(C61,Table2[#All],2,)</f>
        <v>Priti Sharma</v>
      </c>
      <c r="M61" s="5" t="str">
        <f>VLOOKUP(C61,Table2[#All],3,)</f>
        <v>East</v>
      </c>
      <c r="N61" s="5" t="str">
        <f>VLOOKUP(C61,Table2[#All],4,)</f>
        <v>Bihar</v>
      </c>
    </row>
    <row r="62" spans="1:14" x14ac:dyDescent="0.35">
      <c r="A62" s="5">
        <v>1061</v>
      </c>
      <c r="B62" s="6">
        <v>45718</v>
      </c>
      <c r="C62" s="5" t="s">
        <v>77</v>
      </c>
      <c r="D62" s="5" t="s">
        <v>13</v>
      </c>
      <c r="E62" s="5">
        <v>2</v>
      </c>
      <c r="F62" s="5" t="str">
        <f>VLOOKUP(D62,Table1[#All],2,0)</f>
        <v>Laptop</v>
      </c>
      <c r="G62" s="5" t="str">
        <f>VLOOKUP(D62,Table1[#All],3,0)</f>
        <v>Electronics</v>
      </c>
      <c r="H62" s="5">
        <f>VLOOKUP(D62,Table1[#All],4,)</f>
        <v>50000</v>
      </c>
      <c r="I62" s="5">
        <f>VLOOKUP(D62,Table1[#All],5,)</f>
        <v>42000</v>
      </c>
      <c r="J62" s="5">
        <f t="shared" si="2"/>
        <v>100000</v>
      </c>
      <c r="K62" s="5">
        <f t="shared" si="3"/>
        <v>16000</v>
      </c>
      <c r="L62" s="5" t="str">
        <f>VLOOKUP(C62,Table2[#All],2,)</f>
        <v>Amit Patel</v>
      </c>
      <c r="M62" s="5" t="str">
        <f>VLOOKUP(C62,Table2[#All],3,)</f>
        <v>West</v>
      </c>
      <c r="N62" s="5" t="str">
        <f>VLOOKUP(C62,Table2[#All],4,)</f>
        <v>Gujarat</v>
      </c>
    </row>
    <row r="63" spans="1:14" x14ac:dyDescent="0.35">
      <c r="A63" s="5">
        <v>1062</v>
      </c>
      <c r="B63" s="6">
        <v>45719</v>
      </c>
      <c r="C63" s="5" t="s">
        <v>81</v>
      </c>
      <c r="D63" s="5" t="s">
        <v>16</v>
      </c>
      <c r="E63" s="5">
        <v>1</v>
      </c>
      <c r="F63" s="5" t="str">
        <f>VLOOKUP(D63,Table1[#All],2,0)</f>
        <v>Mouse</v>
      </c>
      <c r="G63" s="5" t="str">
        <f>VLOOKUP(D63,Table1[#All],3,0)</f>
        <v>Electronics</v>
      </c>
      <c r="H63" s="5">
        <f>VLOOKUP(D63,Table1[#All],4,)</f>
        <v>800</v>
      </c>
      <c r="I63" s="5">
        <f>VLOOKUP(D63,Table1[#All],5,)</f>
        <v>500</v>
      </c>
      <c r="J63" s="5">
        <f t="shared" si="2"/>
        <v>800</v>
      </c>
      <c r="K63" s="5">
        <f t="shared" si="3"/>
        <v>300</v>
      </c>
      <c r="L63" s="5" t="str">
        <f>VLOOKUP(C63,Table2[#All],2,)</f>
        <v>Rahul Shah</v>
      </c>
      <c r="M63" s="5" t="str">
        <f>VLOOKUP(C63,Table2[#All],3,)</f>
        <v>West</v>
      </c>
      <c r="N63" s="5" t="str">
        <f>VLOOKUP(C63,Table2[#All],4,)</f>
        <v>Gujarat</v>
      </c>
    </row>
    <row r="64" spans="1:14" x14ac:dyDescent="0.35">
      <c r="A64" s="5">
        <v>1063</v>
      </c>
      <c r="B64" s="6">
        <v>45720</v>
      </c>
      <c r="C64" s="5" t="s">
        <v>83</v>
      </c>
      <c r="D64" s="5" t="s">
        <v>18</v>
      </c>
      <c r="E64" s="5">
        <v>1</v>
      </c>
      <c r="F64" s="5" t="str">
        <f>VLOOKUP(D64,Table1[#All],2,0)</f>
        <v>Keyboard</v>
      </c>
      <c r="G64" s="5" t="str">
        <f>VLOOKUP(D64,Table1[#All],3,0)</f>
        <v>Electronics</v>
      </c>
      <c r="H64" s="5">
        <f>VLOOKUP(D64,Table1[#All],4,)</f>
        <v>1200</v>
      </c>
      <c r="I64" s="5">
        <f>VLOOKUP(D64,Table1[#All],5,)</f>
        <v>850</v>
      </c>
      <c r="J64" s="5">
        <f t="shared" si="2"/>
        <v>1200</v>
      </c>
      <c r="K64" s="5">
        <f t="shared" si="3"/>
        <v>350</v>
      </c>
      <c r="L64" s="5" t="str">
        <f>VLOOKUP(C64,Table2[#All],2,)</f>
        <v>Neha Patel</v>
      </c>
      <c r="M64" s="5" t="str">
        <f>VLOOKUP(C64,Table2[#All],3,)</f>
        <v>West</v>
      </c>
      <c r="N64" s="5" t="str">
        <f>VLOOKUP(C64,Table2[#All],4,)</f>
        <v>Gujarat</v>
      </c>
    </row>
    <row r="65" spans="1:14" x14ac:dyDescent="0.35">
      <c r="A65" s="5">
        <v>1064</v>
      </c>
      <c r="B65" s="6">
        <v>45721</v>
      </c>
      <c r="C65" s="5" t="s">
        <v>85</v>
      </c>
      <c r="D65" s="5" t="s">
        <v>20</v>
      </c>
      <c r="E65" s="5">
        <v>5</v>
      </c>
      <c r="F65" s="5" t="str">
        <f>VLOOKUP(D65,Table1[#All],2,0)</f>
        <v>Monitor</v>
      </c>
      <c r="G65" s="5" t="str">
        <f>VLOOKUP(D65,Table1[#All],3,0)</f>
        <v>Electronics</v>
      </c>
      <c r="H65" s="5">
        <f>VLOOKUP(D65,Table1[#All],4,)</f>
        <v>15000</v>
      </c>
      <c r="I65" s="5">
        <f>VLOOKUP(D65,Table1[#All],5,)</f>
        <v>12500</v>
      </c>
      <c r="J65" s="5">
        <f t="shared" si="2"/>
        <v>75000</v>
      </c>
      <c r="K65" s="5">
        <f t="shared" si="3"/>
        <v>12500</v>
      </c>
      <c r="L65" s="5" t="str">
        <f>VLOOKUP(C65,Table2[#All],2,)</f>
        <v>Priya Mehta</v>
      </c>
      <c r="M65" s="5" t="str">
        <f>VLOOKUP(C65,Table2[#All],3,)</f>
        <v>West</v>
      </c>
      <c r="N65" s="5" t="str">
        <f>VLOOKUP(C65,Table2[#All],4,)</f>
        <v>Maharashtra</v>
      </c>
    </row>
    <row r="66" spans="1:14" x14ac:dyDescent="0.35">
      <c r="A66" s="5">
        <v>1065</v>
      </c>
      <c r="B66" s="6">
        <v>45722</v>
      </c>
      <c r="C66" s="5" t="s">
        <v>88</v>
      </c>
      <c r="D66" s="5" t="s">
        <v>22</v>
      </c>
      <c r="E66" s="5">
        <v>3</v>
      </c>
      <c r="F66" s="5" t="str">
        <f>VLOOKUP(D66,Table1[#All],2,0)</f>
        <v>Printer</v>
      </c>
      <c r="G66" s="5" t="str">
        <f>VLOOKUP(D66,Table1[#All],3,0)</f>
        <v>Electronics</v>
      </c>
      <c r="H66" s="5">
        <f>VLOOKUP(D66,Table1[#All],4,)</f>
        <v>9000</v>
      </c>
      <c r="I66" s="5">
        <f>VLOOKUP(D66,Table1[#All],5,)</f>
        <v>7600</v>
      </c>
      <c r="J66" s="5">
        <f t="shared" ref="J66:J101" si="4">PRODUCT(H66,E66)</f>
        <v>27000</v>
      </c>
      <c r="K66" s="5">
        <f t="shared" ref="K66:K97" si="5">J66-(I66*E66)</f>
        <v>4200</v>
      </c>
      <c r="L66" s="5" t="str">
        <f>VLOOKUP(C66,Table2[#All],2,)</f>
        <v>Karan Joshi</v>
      </c>
      <c r="M66" s="5" t="str">
        <f>VLOOKUP(C66,Table2[#All],3,)</f>
        <v>West</v>
      </c>
      <c r="N66" s="5" t="str">
        <f>VLOOKUP(C66,Table2[#All],4,)</f>
        <v>Maharashtra</v>
      </c>
    </row>
    <row r="67" spans="1:14" x14ac:dyDescent="0.35">
      <c r="A67" s="5">
        <v>1066</v>
      </c>
      <c r="B67" s="6">
        <v>45723</v>
      </c>
      <c r="C67" s="5" t="s">
        <v>90</v>
      </c>
      <c r="D67" s="5" t="s">
        <v>24</v>
      </c>
      <c r="E67" s="5">
        <v>3</v>
      </c>
      <c r="F67" s="5" t="str">
        <f>VLOOKUP(D67,Table1[#All],2,0)</f>
        <v>Mobile</v>
      </c>
      <c r="G67" s="5" t="str">
        <f>VLOOKUP(D67,Table1[#All],3,0)</f>
        <v>Electronics</v>
      </c>
      <c r="H67" s="5">
        <f>VLOOKUP(D67,Table1[#All],4,)</f>
        <v>25000</v>
      </c>
      <c r="I67" s="5">
        <f>VLOOKUP(D67,Table1[#All],5,)</f>
        <v>21000</v>
      </c>
      <c r="J67" s="5">
        <f t="shared" si="4"/>
        <v>75000</v>
      </c>
      <c r="K67" s="5">
        <f t="shared" si="5"/>
        <v>12000</v>
      </c>
      <c r="L67" s="5" t="str">
        <f>VLOOKUP(C67,Table2[#All],2,)</f>
        <v>Riya Desai</v>
      </c>
      <c r="M67" s="5" t="str">
        <f>VLOOKUP(C67,Table2[#All],3,)</f>
        <v>West</v>
      </c>
      <c r="N67" s="5" t="str">
        <f>VLOOKUP(C67,Table2[#All],4,)</f>
        <v>Rajasthan</v>
      </c>
    </row>
    <row r="68" spans="1:14" x14ac:dyDescent="0.35">
      <c r="A68" s="5">
        <v>1067</v>
      </c>
      <c r="B68" s="6">
        <v>45724</v>
      </c>
      <c r="C68" s="5" t="s">
        <v>93</v>
      </c>
      <c r="D68" s="5" t="s">
        <v>26</v>
      </c>
      <c r="E68" s="5">
        <v>1</v>
      </c>
      <c r="F68" s="5" t="str">
        <f>VLOOKUP(D68,Table1[#All],2,0)</f>
        <v>Earbuds</v>
      </c>
      <c r="G68" s="5" t="str">
        <f>VLOOKUP(D68,Table1[#All],3,0)</f>
        <v>Electronics</v>
      </c>
      <c r="H68" s="5">
        <f>VLOOKUP(D68,Table1[#All],4,)</f>
        <v>2000</v>
      </c>
      <c r="I68" s="5">
        <f>VLOOKUP(D68,Table1[#All],5,)</f>
        <v>1500</v>
      </c>
      <c r="J68" s="5">
        <f t="shared" si="4"/>
        <v>2000</v>
      </c>
      <c r="K68" s="5">
        <f t="shared" si="5"/>
        <v>500</v>
      </c>
      <c r="L68" s="5" t="str">
        <f>VLOOKUP(C68,Table2[#All],2,)</f>
        <v>Mohit Singh</v>
      </c>
      <c r="M68" s="5" t="str">
        <f>VLOOKUP(C68,Table2[#All],3,)</f>
        <v>North</v>
      </c>
      <c r="N68" s="5" t="str">
        <f>VLOOKUP(C68,Table2[#All],4,)</f>
        <v>Delhi</v>
      </c>
    </row>
    <row r="69" spans="1:14" x14ac:dyDescent="0.35">
      <c r="A69" s="5">
        <v>1068</v>
      </c>
      <c r="B69" s="6">
        <v>45725</v>
      </c>
      <c r="C69" s="5" t="s">
        <v>97</v>
      </c>
      <c r="D69" s="5" t="s">
        <v>28</v>
      </c>
      <c r="E69" s="5">
        <v>1</v>
      </c>
      <c r="F69" s="5" t="str">
        <f>VLOOKUP(D69,Table1[#All],2,0)</f>
        <v>Smart Watch</v>
      </c>
      <c r="G69" s="5" t="str">
        <f>VLOOKUP(D69,Table1[#All],3,0)</f>
        <v>Electronics</v>
      </c>
      <c r="H69" s="5">
        <f>VLOOKUP(D69,Table1[#All],4,)</f>
        <v>6000</v>
      </c>
      <c r="I69" s="5">
        <f>VLOOKUP(D69,Table1[#All],5,)</f>
        <v>5000</v>
      </c>
      <c r="J69" s="5">
        <f t="shared" si="4"/>
        <v>6000</v>
      </c>
      <c r="K69" s="5">
        <f t="shared" si="5"/>
        <v>1000</v>
      </c>
      <c r="L69" s="5" t="str">
        <f>VLOOKUP(C69,Table2[#All],2,)</f>
        <v>Anjali Verma</v>
      </c>
      <c r="M69" s="5" t="str">
        <f>VLOOKUP(C69,Table2[#All],3,)</f>
        <v>North</v>
      </c>
      <c r="N69" s="5" t="str">
        <f>VLOOKUP(C69,Table2[#All],4,)</f>
        <v>Delhi</v>
      </c>
    </row>
    <row r="70" spans="1:14" x14ac:dyDescent="0.35">
      <c r="A70" s="5">
        <v>1069</v>
      </c>
      <c r="B70" s="6">
        <v>45726</v>
      </c>
      <c r="C70" s="5" t="s">
        <v>99</v>
      </c>
      <c r="D70" s="5" t="s">
        <v>30</v>
      </c>
      <c r="E70" s="5">
        <v>5</v>
      </c>
      <c r="F70" s="5" t="str">
        <f>VLOOKUP(D70,Table1[#All],2,0)</f>
        <v>Chair</v>
      </c>
      <c r="G70" s="5" t="str">
        <f>VLOOKUP(D70,Table1[#All],3,0)</f>
        <v>Furniture</v>
      </c>
      <c r="H70" s="5">
        <f>VLOOKUP(D70,Table1[#All],4,)</f>
        <v>3500</v>
      </c>
      <c r="I70" s="5">
        <f>VLOOKUP(D70,Table1[#All],5,)</f>
        <v>2800</v>
      </c>
      <c r="J70" s="5">
        <f t="shared" si="4"/>
        <v>17500</v>
      </c>
      <c r="K70" s="5">
        <f t="shared" si="5"/>
        <v>3500</v>
      </c>
      <c r="L70" s="5" t="str">
        <f>VLOOKUP(C70,Table2[#All],2,)</f>
        <v>Rohit Kumar</v>
      </c>
      <c r="M70" s="5" t="str">
        <f>VLOOKUP(C70,Table2[#All],3,)</f>
        <v>North</v>
      </c>
      <c r="N70" s="5" t="str">
        <f>VLOOKUP(C70,Table2[#All],4,)</f>
        <v>Punjab</v>
      </c>
    </row>
    <row r="71" spans="1:14" x14ac:dyDescent="0.35">
      <c r="A71" s="5">
        <v>1070</v>
      </c>
      <c r="B71" s="6">
        <v>45727</v>
      </c>
      <c r="C71" s="5" t="s">
        <v>102</v>
      </c>
      <c r="D71" s="5" t="s">
        <v>33</v>
      </c>
      <c r="E71" s="5">
        <v>5</v>
      </c>
      <c r="F71" s="5" t="str">
        <f>VLOOKUP(D71,Table1[#All],2,0)</f>
        <v>Table</v>
      </c>
      <c r="G71" s="5" t="str">
        <f>VLOOKUP(D71,Table1[#All],3,0)</f>
        <v>Furniture</v>
      </c>
      <c r="H71" s="5">
        <f>VLOOKUP(D71,Table1[#All],4,)</f>
        <v>7000</v>
      </c>
      <c r="I71" s="5">
        <f>VLOOKUP(D71,Table1[#All],5,)</f>
        <v>5800</v>
      </c>
      <c r="J71" s="5">
        <f t="shared" si="4"/>
        <v>35000</v>
      </c>
      <c r="K71" s="5">
        <f t="shared" si="5"/>
        <v>6000</v>
      </c>
      <c r="L71" s="5" t="str">
        <f>VLOOKUP(C71,Table2[#All],2,)</f>
        <v>Simran Kaur</v>
      </c>
      <c r="M71" s="5" t="str">
        <f>VLOOKUP(C71,Table2[#All],3,)</f>
        <v>North</v>
      </c>
      <c r="N71" s="5" t="str">
        <f>VLOOKUP(C71,Table2[#All],4,)</f>
        <v>Punjab</v>
      </c>
    </row>
    <row r="72" spans="1:14" x14ac:dyDescent="0.35">
      <c r="A72" s="5">
        <v>1071</v>
      </c>
      <c r="B72" s="6">
        <v>45728</v>
      </c>
      <c r="C72" s="5" t="s">
        <v>104</v>
      </c>
      <c r="D72" s="5" t="s">
        <v>35</v>
      </c>
      <c r="E72" s="5">
        <v>3</v>
      </c>
      <c r="F72" s="5" t="str">
        <f>VLOOKUP(D72,Table1[#All],2,0)</f>
        <v>Sofa</v>
      </c>
      <c r="G72" s="5" t="str">
        <f>VLOOKUP(D72,Table1[#All],3,0)</f>
        <v>Furniture</v>
      </c>
      <c r="H72" s="5">
        <f>VLOOKUP(D72,Table1[#All],4,)</f>
        <v>25000</v>
      </c>
      <c r="I72" s="5">
        <f>VLOOKUP(D72,Table1[#All],5,)</f>
        <v>21000</v>
      </c>
      <c r="J72" s="5">
        <f t="shared" si="4"/>
        <v>75000</v>
      </c>
      <c r="K72" s="5">
        <f t="shared" si="5"/>
        <v>12000</v>
      </c>
      <c r="L72" s="5" t="str">
        <f>VLOOKUP(C72,Table2[#All],2,)</f>
        <v>Arjun Sharma</v>
      </c>
      <c r="M72" s="5" t="str">
        <f>VLOOKUP(C72,Table2[#All],3,)</f>
        <v>North</v>
      </c>
      <c r="N72" s="5" t="str">
        <f>VLOOKUP(C72,Table2[#All],4,)</f>
        <v>Haryana</v>
      </c>
    </row>
    <row r="73" spans="1:14" x14ac:dyDescent="0.35">
      <c r="A73" s="5">
        <v>1072</v>
      </c>
      <c r="B73" s="6">
        <v>45729</v>
      </c>
      <c r="C73" s="5" t="s">
        <v>107</v>
      </c>
      <c r="D73" s="5" t="s">
        <v>37</v>
      </c>
      <c r="E73" s="5">
        <v>5</v>
      </c>
      <c r="F73" s="5" t="str">
        <f>VLOOKUP(D73,Table1[#All],2,0)</f>
        <v>Cupboard</v>
      </c>
      <c r="G73" s="5" t="str">
        <f>VLOOKUP(D73,Table1[#All],3,0)</f>
        <v>Furniture</v>
      </c>
      <c r="H73" s="5">
        <f>VLOOKUP(D73,Table1[#All],4,)</f>
        <v>18000</v>
      </c>
      <c r="I73" s="5">
        <f>VLOOKUP(D73,Table1[#All],5,)</f>
        <v>15000</v>
      </c>
      <c r="J73" s="5">
        <f t="shared" si="4"/>
        <v>90000</v>
      </c>
      <c r="K73" s="5">
        <f t="shared" si="5"/>
        <v>15000</v>
      </c>
      <c r="L73" s="5" t="str">
        <f>VLOOKUP(C73,Table2[#All],2,)</f>
        <v>Sneha Gupta</v>
      </c>
      <c r="M73" s="5" t="str">
        <f>VLOOKUP(C73,Table2[#All],3,)</f>
        <v>North</v>
      </c>
      <c r="N73" s="5" t="str">
        <f>VLOOKUP(C73,Table2[#All],4,)</f>
        <v>Uttar Pradesh</v>
      </c>
    </row>
    <row r="74" spans="1:14" x14ac:dyDescent="0.35">
      <c r="A74" s="5">
        <v>1073</v>
      </c>
      <c r="B74" s="6">
        <v>45730</v>
      </c>
      <c r="C74" s="5" t="s">
        <v>110</v>
      </c>
      <c r="D74" s="5" t="s">
        <v>39</v>
      </c>
      <c r="E74" s="5">
        <v>2</v>
      </c>
      <c r="F74" s="5" t="str">
        <f>VLOOKUP(D74,Table1[#All],2,0)</f>
        <v>Bed</v>
      </c>
      <c r="G74" s="5" t="str">
        <f>VLOOKUP(D74,Table1[#All],3,0)</f>
        <v>Furniture</v>
      </c>
      <c r="H74" s="5">
        <f>VLOOKUP(D74,Table1[#All],4,)</f>
        <v>30000</v>
      </c>
      <c r="I74" s="5">
        <f>VLOOKUP(D74,Table1[#All],5,)</f>
        <v>25500</v>
      </c>
      <c r="J74" s="5">
        <f t="shared" si="4"/>
        <v>60000</v>
      </c>
      <c r="K74" s="5">
        <f t="shared" si="5"/>
        <v>9000</v>
      </c>
      <c r="L74" s="5" t="str">
        <f>VLOOKUP(C74,Table2[#All],2,)</f>
        <v>Vivek Yadav</v>
      </c>
      <c r="M74" s="5" t="str">
        <f>VLOOKUP(C74,Table2[#All],3,)</f>
        <v>North</v>
      </c>
      <c r="N74" s="5" t="str">
        <f>VLOOKUP(C74,Table2[#All],4,)</f>
        <v>Uttar Pradesh</v>
      </c>
    </row>
    <row r="75" spans="1:14" x14ac:dyDescent="0.35">
      <c r="A75" s="5">
        <v>1074</v>
      </c>
      <c r="B75" s="6">
        <v>45731</v>
      </c>
      <c r="C75" s="5" t="s">
        <v>112</v>
      </c>
      <c r="D75" s="5" t="s">
        <v>41</v>
      </c>
      <c r="E75" s="5">
        <v>1</v>
      </c>
      <c r="F75" s="5" t="str">
        <f>VLOOKUP(D75,Table1[#All],2,0)</f>
        <v>Notebook</v>
      </c>
      <c r="G75" s="5" t="str">
        <f>VLOOKUP(D75,Table1[#All],3,0)</f>
        <v>Stationery</v>
      </c>
      <c r="H75" s="5">
        <f>VLOOKUP(D75,Table1[#All],4,)</f>
        <v>80</v>
      </c>
      <c r="I75" s="5">
        <f>VLOOKUP(D75,Table1[#All],5,)</f>
        <v>50</v>
      </c>
      <c r="J75" s="5">
        <f t="shared" si="4"/>
        <v>80</v>
      </c>
      <c r="K75" s="5">
        <f t="shared" si="5"/>
        <v>30</v>
      </c>
      <c r="L75" s="5" t="str">
        <f>VLOOKUP(C75,Table2[#All],2,)</f>
        <v>Pooja Mishra</v>
      </c>
      <c r="M75" s="5" t="str">
        <f>VLOOKUP(C75,Table2[#All],3,)</f>
        <v>East</v>
      </c>
      <c r="N75" s="5" t="str">
        <f>VLOOKUP(C75,Table2[#All],4,)</f>
        <v>Bihar</v>
      </c>
    </row>
    <row r="76" spans="1:14" x14ac:dyDescent="0.35">
      <c r="A76" s="5">
        <v>1075</v>
      </c>
      <c r="B76" s="6">
        <v>45732</v>
      </c>
      <c r="C76" s="5" t="s">
        <v>116</v>
      </c>
      <c r="D76" s="5" t="s">
        <v>44</v>
      </c>
      <c r="E76" s="5">
        <v>4</v>
      </c>
      <c r="F76" s="5" t="str">
        <f>VLOOKUP(D76,Table1[#All],2,0)</f>
        <v>Pen</v>
      </c>
      <c r="G76" s="5" t="str">
        <f>VLOOKUP(D76,Table1[#All],3,0)</f>
        <v>Stationery</v>
      </c>
      <c r="H76" s="5">
        <f>VLOOKUP(D76,Table1[#All],4,)</f>
        <v>20</v>
      </c>
      <c r="I76" s="5">
        <f>VLOOKUP(D76,Table1[#All],5,)</f>
        <v>10</v>
      </c>
      <c r="J76" s="5">
        <f t="shared" si="4"/>
        <v>80</v>
      </c>
      <c r="K76" s="5">
        <f t="shared" si="5"/>
        <v>40</v>
      </c>
      <c r="L76" s="5" t="str">
        <f>VLOOKUP(C76,Table2[#All],2,)</f>
        <v>Rajesh Das</v>
      </c>
      <c r="M76" s="5" t="str">
        <f>VLOOKUP(C76,Table2[#All],3,)</f>
        <v>East</v>
      </c>
      <c r="N76" s="5" t="str">
        <f>VLOOKUP(C76,Table2[#All],4,)</f>
        <v>West Bengal</v>
      </c>
    </row>
    <row r="77" spans="1:14" x14ac:dyDescent="0.35">
      <c r="A77" s="5">
        <v>1076</v>
      </c>
      <c r="B77" s="6">
        <v>45733</v>
      </c>
      <c r="C77" s="5" t="s">
        <v>119</v>
      </c>
      <c r="D77" s="5" t="s">
        <v>46</v>
      </c>
      <c r="E77" s="5">
        <v>2</v>
      </c>
      <c r="F77" s="5" t="str">
        <f>VLOOKUP(D77,Table1[#All],2,0)</f>
        <v>Marker</v>
      </c>
      <c r="G77" s="5" t="str">
        <f>VLOOKUP(D77,Table1[#All],3,0)</f>
        <v>Stationery</v>
      </c>
      <c r="H77" s="5">
        <f>VLOOKUP(D77,Table1[#All],4,)</f>
        <v>40</v>
      </c>
      <c r="I77" s="5">
        <f>VLOOKUP(D77,Table1[#All],5,)</f>
        <v>25</v>
      </c>
      <c r="J77" s="5">
        <f t="shared" si="4"/>
        <v>80</v>
      </c>
      <c r="K77" s="5">
        <f t="shared" si="5"/>
        <v>30</v>
      </c>
      <c r="L77" s="5" t="str">
        <f>VLOOKUP(C77,Table2[#All],2,)</f>
        <v>Suman Roy</v>
      </c>
      <c r="M77" s="5" t="str">
        <f>VLOOKUP(C77,Table2[#All],3,)</f>
        <v>East</v>
      </c>
      <c r="N77" s="5" t="str">
        <f>VLOOKUP(C77,Table2[#All],4,)</f>
        <v>West Bengal</v>
      </c>
    </row>
    <row r="78" spans="1:14" x14ac:dyDescent="0.35">
      <c r="A78" s="5">
        <v>1077</v>
      </c>
      <c r="B78" s="6">
        <v>45734</v>
      </c>
      <c r="C78" s="5" t="s">
        <v>121</v>
      </c>
      <c r="D78" s="5" t="s">
        <v>48</v>
      </c>
      <c r="E78" s="5">
        <v>3</v>
      </c>
      <c r="F78" s="5" t="str">
        <f>VLOOKUP(D78,Table1[#All],2,0)</f>
        <v>File Folder</v>
      </c>
      <c r="G78" s="5" t="str">
        <f>VLOOKUP(D78,Table1[#All],3,0)</f>
        <v>Stationery</v>
      </c>
      <c r="H78" s="5">
        <f>VLOOKUP(D78,Table1[#All],4,)</f>
        <v>120</v>
      </c>
      <c r="I78" s="5">
        <f>VLOOKUP(D78,Table1[#All],5,)</f>
        <v>80</v>
      </c>
      <c r="J78" s="5">
        <f t="shared" si="4"/>
        <v>360</v>
      </c>
      <c r="K78" s="5">
        <f t="shared" si="5"/>
        <v>120</v>
      </c>
      <c r="L78" s="5" t="str">
        <f>VLOOKUP(C78,Table2[#All],2,)</f>
        <v>Ankita Ghosh</v>
      </c>
      <c r="M78" s="5" t="str">
        <f>VLOOKUP(C78,Table2[#All],3,)</f>
        <v>East</v>
      </c>
      <c r="N78" s="5" t="str">
        <f>VLOOKUP(C78,Table2[#All],4,)</f>
        <v>Odisha</v>
      </c>
    </row>
    <row r="79" spans="1:14" x14ac:dyDescent="0.35">
      <c r="A79" s="5">
        <v>1078</v>
      </c>
      <c r="B79" s="6">
        <v>45735</v>
      </c>
      <c r="C79" s="5" t="s">
        <v>124</v>
      </c>
      <c r="D79" s="5" t="s">
        <v>50</v>
      </c>
      <c r="E79" s="5">
        <v>3</v>
      </c>
      <c r="F79" s="5" t="str">
        <f>VLOOKUP(D79,Table1[#All],2,0)</f>
        <v>Backpack</v>
      </c>
      <c r="G79" s="5" t="str">
        <f>VLOOKUP(D79,Table1[#All],3,0)</f>
        <v>Accessories</v>
      </c>
      <c r="H79" s="5">
        <f>VLOOKUP(D79,Table1[#All],4,)</f>
        <v>1500</v>
      </c>
      <c r="I79" s="5">
        <f>VLOOKUP(D79,Table1[#All],5,)</f>
        <v>1100</v>
      </c>
      <c r="J79" s="5">
        <f t="shared" si="4"/>
        <v>4500</v>
      </c>
      <c r="K79" s="5">
        <f t="shared" si="5"/>
        <v>1200</v>
      </c>
      <c r="L79" s="5" t="str">
        <f>VLOOKUP(C79,Table2[#All],2,)</f>
        <v>Deepak Nayak</v>
      </c>
      <c r="M79" s="5" t="str">
        <f>VLOOKUP(C79,Table2[#All],3,)</f>
        <v>East</v>
      </c>
      <c r="N79" s="5" t="str">
        <f>VLOOKUP(C79,Table2[#All],4,)</f>
        <v>Odisha</v>
      </c>
    </row>
    <row r="80" spans="1:14" x14ac:dyDescent="0.35">
      <c r="A80" s="5">
        <v>1079</v>
      </c>
      <c r="B80" s="6">
        <v>45736</v>
      </c>
      <c r="C80" s="5" t="s">
        <v>126</v>
      </c>
      <c r="D80" s="5" t="s">
        <v>53</v>
      </c>
      <c r="E80" s="5">
        <v>1</v>
      </c>
      <c r="F80" s="5" t="str">
        <f>VLOOKUP(D80,Table1[#All],2,0)</f>
        <v>Water Bottle</v>
      </c>
      <c r="G80" s="5" t="str">
        <f>VLOOKUP(D80,Table1[#All],3,0)</f>
        <v>Accessories</v>
      </c>
      <c r="H80" s="5">
        <f>VLOOKUP(D80,Table1[#All],4,)</f>
        <v>500</v>
      </c>
      <c r="I80" s="5">
        <f>VLOOKUP(D80,Table1[#All],5,)</f>
        <v>320</v>
      </c>
      <c r="J80" s="5">
        <f t="shared" si="4"/>
        <v>500</v>
      </c>
      <c r="K80" s="5">
        <f t="shared" si="5"/>
        <v>180</v>
      </c>
      <c r="L80" s="5" t="str">
        <f>VLOOKUP(C80,Table2[#All],2,)</f>
        <v>Suresh Reddy</v>
      </c>
      <c r="M80" s="5" t="str">
        <f>VLOOKUP(C80,Table2[#All],3,)</f>
        <v>South</v>
      </c>
      <c r="N80" s="5" t="str">
        <f>VLOOKUP(C80,Table2[#All],4,)</f>
        <v>Telangana</v>
      </c>
    </row>
    <row r="81" spans="1:14" x14ac:dyDescent="0.35">
      <c r="A81" s="5">
        <v>1080</v>
      </c>
      <c r="B81" s="6">
        <v>45737</v>
      </c>
      <c r="C81" s="5" t="s">
        <v>130</v>
      </c>
      <c r="D81" s="5" t="s">
        <v>55</v>
      </c>
      <c r="E81" s="5">
        <v>2</v>
      </c>
      <c r="F81" s="5" t="str">
        <f>VLOOKUP(D81,Table1[#All],2,0)</f>
        <v>Lunch Box</v>
      </c>
      <c r="G81" s="5" t="str">
        <f>VLOOKUP(D81,Table1[#All],3,0)</f>
        <v>Accessories</v>
      </c>
      <c r="H81" s="5">
        <f>VLOOKUP(D81,Table1[#All],4,)</f>
        <v>700</v>
      </c>
      <c r="I81" s="5">
        <f>VLOOKUP(D81,Table1[#All],5,)</f>
        <v>480</v>
      </c>
      <c r="J81" s="5">
        <f t="shared" si="4"/>
        <v>1400</v>
      </c>
      <c r="K81" s="5">
        <f t="shared" si="5"/>
        <v>440</v>
      </c>
      <c r="L81" s="5" t="str">
        <f>VLOOKUP(C81,Table2[#All],2,)</f>
        <v>Kavya Rao</v>
      </c>
      <c r="M81" s="5" t="str">
        <f>VLOOKUP(C81,Table2[#All],3,)</f>
        <v>South</v>
      </c>
      <c r="N81" s="5" t="str">
        <f>VLOOKUP(C81,Table2[#All],4,)</f>
        <v>Karnataka</v>
      </c>
    </row>
    <row r="82" spans="1:14" x14ac:dyDescent="0.35">
      <c r="A82" s="5">
        <v>1081</v>
      </c>
      <c r="B82" s="6">
        <v>45738</v>
      </c>
      <c r="C82" s="5" t="s">
        <v>133</v>
      </c>
      <c r="D82" s="5" t="s">
        <v>57</v>
      </c>
      <c r="E82" s="5">
        <v>4</v>
      </c>
      <c r="F82" s="5" t="str">
        <f>VLOOKUP(D82,Table1[#All],2,0)</f>
        <v>Calculator</v>
      </c>
      <c r="G82" s="5" t="str">
        <f>VLOOKUP(D82,Table1[#All],3,0)</f>
        <v>Stationery</v>
      </c>
      <c r="H82" s="5">
        <f>VLOOKUP(D82,Table1[#All],4,)</f>
        <v>600</v>
      </c>
      <c r="I82" s="5">
        <f>VLOOKUP(D82,Table1[#All],5,)</f>
        <v>450</v>
      </c>
      <c r="J82" s="5">
        <f t="shared" si="4"/>
        <v>2400</v>
      </c>
      <c r="K82" s="5">
        <f t="shared" si="5"/>
        <v>600</v>
      </c>
      <c r="L82" s="5" t="str">
        <f>VLOOKUP(C82,Table2[#All],2,)</f>
        <v>Nikhil Nair</v>
      </c>
      <c r="M82" s="5" t="str">
        <f>VLOOKUP(C82,Table2[#All],3,)</f>
        <v>South</v>
      </c>
      <c r="N82" s="5" t="str">
        <f>VLOOKUP(C82,Table2[#All],4,)</f>
        <v>Kerala</v>
      </c>
    </row>
    <row r="83" spans="1:14" x14ac:dyDescent="0.35">
      <c r="A83" s="5">
        <v>1082</v>
      </c>
      <c r="B83" s="6">
        <v>45739</v>
      </c>
      <c r="C83" s="5" t="s">
        <v>136</v>
      </c>
      <c r="D83" s="5" t="s">
        <v>59</v>
      </c>
      <c r="E83" s="5">
        <v>1</v>
      </c>
      <c r="F83" s="5" t="str">
        <f>VLOOKUP(D83,Table1[#All],2,0)</f>
        <v>USB Drive</v>
      </c>
      <c r="G83" s="5" t="str">
        <f>VLOOKUP(D83,Table1[#All],3,0)</f>
        <v>Electronics</v>
      </c>
      <c r="H83" s="5">
        <f>VLOOKUP(D83,Table1[#All],4,)</f>
        <v>900</v>
      </c>
      <c r="I83" s="5">
        <f>VLOOKUP(D83,Table1[#All],5,)</f>
        <v>650</v>
      </c>
      <c r="J83" s="5">
        <f t="shared" si="4"/>
        <v>900</v>
      </c>
      <c r="K83" s="5">
        <f t="shared" si="5"/>
        <v>250</v>
      </c>
      <c r="L83" s="5" t="str">
        <f>VLOOKUP(C83,Table2[#All],2,)</f>
        <v>Divya Iyer</v>
      </c>
      <c r="M83" s="5" t="str">
        <f>VLOOKUP(C83,Table2[#All],3,)</f>
        <v>South</v>
      </c>
      <c r="N83" s="5" t="str">
        <f>VLOOKUP(C83,Table2[#All],4,)</f>
        <v>Tamil Nadu</v>
      </c>
    </row>
    <row r="84" spans="1:14" x14ac:dyDescent="0.35">
      <c r="A84" s="5">
        <v>1083</v>
      </c>
      <c r="B84" s="6">
        <v>45740</v>
      </c>
      <c r="C84" s="5" t="s">
        <v>139</v>
      </c>
      <c r="D84" s="5" t="s">
        <v>61</v>
      </c>
      <c r="E84" s="5">
        <v>4</v>
      </c>
      <c r="F84" s="5" t="str">
        <f>VLOOKUP(D84,Table1[#All],2,0)</f>
        <v>Power Bank</v>
      </c>
      <c r="G84" s="5" t="str">
        <f>VLOOKUP(D84,Table1[#All],3,0)</f>
        <v>Electronics</v>
      </c>
      <c r="H84" s="5">
        <f>VLOOKUP(D84,Table1[#All],4,)</f>
        <v>1800</v>
      </c>
      <c r="I84" s="5">
        <f>VLOOKUP(D84,Table1[#All],5,)</f>
        <v>1400</v>
      </c>
      <c r="J84" s="5">
        <f t="shared" si="4"/>
        <v>7200</v>
      </c>
      <c r="K84" s="5">
        <f t="shared" si="5"/>
        <v>1600</v>
      </c>
      <c r="L84" s="5" t="str">
        <f>VLOOKUP(C84,Table2[#All],2,)</f>
        <v>Harish Kumar</v>
      </c>
      <c r="M84" s="5" t="str">
        <f>VLOOKUP(C84,Table2[#All],3,)</f>
        <v>South</v>
      </c>
      <c r="N84" s="5" t="str">
        <f>VLOOKUP(C84,Table2[#All],4,)</f>
        <v>Tamil Nadu</v>
      </c>
    </row>
    <row r="85" spans="1:14" x14ac:dyDescent="0.35">
      <c r="A85" s="5">
        <v>1084</v>
      </c>
      <c r="B85" s="6">
        <v>45741</v>
      </c>
      <c r="C85" s="5" t="s">
        <v>141</v>
      </c>
      <c r="D85" s="5" t="s">
        <v>63</v>
      </c>
      <c r="E85" s="5">
        <v>5</v>
      </c>
      <c r="F85" s="5" t="str">
        <f>VLOOKUP(D85,Table1[#All],2,0)</f>
        <v>Desk Lamp</v>
      </c>
      <c r="G85" s="5" t="str">
        <f>VLOOKUP(D85,Table1[#All],3,0)</f>
        <v>Furniture</v>
      </c>
      <c r="H85" s="5">
        <f>VLOOKUP(D85,Table1[#All],4,)</f>
        <v>2200</v>
      </c>
      <c r="I85" s="5">
        <f>VLOOKUP(D85,Table1[#All],5,)</f>
        <v>1700</v>
      </c>
      <c r="J85" s="5">
        <f t="shared" si="4"/>
        <v>11000</v>
      </c>
      <c r="K85" s="5">
        <f t="shared" si="5"/>
        <v>2500</v>
      </c>
      <c r="L85" s="5" t="str">
        <f>VLOOKUP(C85,Table2[#All],2,)</f>
        <v>Meera Pillai</v>
      </c>
      <c r="M85" s="5" t="str">
        <f>VLOOKUP(C85,Table2[#All],3,)</f>
        <v>South</v>
      </c>
      <c r="N85" s="5" t="str">
        <f>VLOOKUP(C85,Table2[#All],4,)</f>
        <v>Kerala</v>
      </c>
    </row>
    <row r="86" spans="1:14" x14ac:dyDescent="0.35">
      <c r="A86" s="5">
        <v>1085</v>
      </c>
      <c r="B86" s="6">
        <v>45742</v>
      </c>
      <c r="C86" s="5" t="s">
        <v>143</v>
      </c>
      <c r="D86" s="5" t="s">
        <v>65</v>
      </c>
      <c r="E86" s="5">
        <v>2</v>
      </c>
      <c r="F86" s="5" t="str">
        <f>VLOOKUP(D86,Table1[#All],2,0)</f>
        <v>Office Chair</v>
      </c>
      <c r="G86" s="5" t="str">
        <f>VLOOKUP(D86,Table1[#All],3,0)</f>
        <v>Furniture</v>
      </c>
      <c r="H86" s="5">
        <f>VLOOKUP(D86,Table1[#All],4,)</f>
        <v>8500</v>
      </c>
      <c r="I86" s="5">
        <f>VLOOKUP(D86,Table1[#All],5,)</f>
        <v>7000</v>
      </c>
      <c r="J86" s="5">
        <f t="shared" si="4"/>
        <v>17000</v>
      </c>
      <c r="K86" s="5">
        <f t="shared" si="5"/>
        <v>3000</v>
      </c>
      <c r="L86" s="5" t="str">
        <f>VLOOKUP(C86,Table2[#All],2,)</f>
        <v>Jay Patel</v>
      </c>
      <c r="M86" s="5" t="str">
        <f>VLOOKUP(C86,Table2[#All],3,)</f>
        <v>West</v>
      </c>
      <c r="N86" s="5" t="str">
        <f>VLOOKUP(C86,Table2[#All],4,)</f>
        <v>Gujarat</v>
      </c>
    </row>
    <row r="87" spans="1:14" x14ac:dyDescent="0.35">
      <c r="A87" s="5">
        <v>1086</v>
      </c>
      <c r="B87" s="6">
        <v>45743</v>
      </c>
      <c r="C87" s="5" t="s">
        <v>145</v>
      </c>
      <c r="D87" s="5" t="s">
        <v>67</v>
      </c>
      <c r="E87" s="5">
        <v>5</v>
      </c>
      <c r="F87" s="5" t="str">
        <f>VLOOKUP(D87,Table1[#All],2,0)</f>
        <v>Whiteboard</v>
      </c>
      <c r="G87" s="5" t="str">
        <f>VLOOKUP(D87,Table1[#All],3,0)</f>
        <v>Stationery</v>
      </c>
      <c r="H87" s="5">
        <f>VLOOKUP(D87,Table1[#All],4,)</f>
        <v>2500</v>
      </c>
      <c r="I87" s="5">
        <f>VLOOKUP(D87,Table1[#All],5,)</f>
        <v>1900</v>
      </c>
      <c r="J87" s="5">
        <f t="shared" si="4"/>
        <v>12500</v>
      </c>
      <c r="K87" s="5">
        <f t="shared" si="5"/>
        <v>3000</v>
      </c>
      <c r="L87" s="5" t="str">
        <f>VLOOKUP(C87,Table2[#All],2,)</f>
        <v>Krunal Shah</v>
      </c>
      <c r="M87" s="5" t="str">
        <f>VLOOKUP(C87,Table2[#All],3,)</f>
        <v>West</v>
      </c>
      <c r="N87" s="5" t="str">
        <f>VLOOKUP(C87,Table2[#All],4,)</f>
        <v>Gujarat</v>
      </c>
    </row>
    <row r="88" spans="1:14" x14ac:dyDescent="0.35">
      <c r="A88" s="5">
        <v>1087</v>
      </c>
      <c r="B88" s="6">
        <v>45744</v>
      </c>
      <c r="C88" s="5" t="s">
        <v>147</v>
      </c>
      <c r="D88" s="5" t="s">
        <v>69</v>
      </c>
      <c r="E88" s="5">
        <v>4</v>
      </c>
      <c r="F88" s="5" t="str">
        <f>VLOOKUP(D88,Table1[#All],2,0)</f>
        <v>Headphones</v>
      </c>
      <c r="G88" s="5" t="str">
        <f>VLOOKUP(D88,Table1[#All],3,0)</f>
        <v>Electronics</v>
      </c>
      <c r="H88" s="5">
        <f>VLOOKUP(D88,Table1[#All],4,)</f>
        <v>3500</v>
      </c>
      <c r="I88" s="5">
        <f>VLOOKUP(D88,Table1[#All],5,)</f>
        <v>2800</v>
      </c>
      <c r="J88" s="5">
        <f t="shared" si="4"/>
        <v>14000</v>
      </c>
      <c r="K88" s="5">
        <f t="shared" si="5"/>
        <v>2800</v>
      </c>
      <c r="L88" s="5" t="str">
        <f>VLOOKUP(C88,Table2[#All],2,)</f>
        <v>Aisha Khan</v>
      </c>
      <c r="M88" s="5" t="str">
        <f>VLOOKUP(C88,Table2[#All],3,)</f>
        <v>North</v>
      </c>
      <c r="N88" s="5" t="str">
        <f>VLOOKUP(C88,Table2[#All],4,)</f>
        <v>Delhi</v>
      </c>
    </row>
    <row r="89" spans="1:14" x14ac:dyDescent="0.35">
      <c r="A89" s="5">
        <v>1088</v>
      </c>
      <c r="B89" s="6">
        <v>45745</v>
      </c>
      <c r="C89" s="5" t="s">
        <v>149</v>
      </c>
      <c r="D89" s="5" t="s">
        <v>71</v>
      </c>
      <c r="E89" s="5">
        <v>3</v>
      </c>
      <c r="F89" s="5" t="str">
        <f>VLOOKUP(D89,Table1[#All],2,0)</f>
        <v>Coffee Mug</v>
      </c>
      <c r="G89" s="5" t="str">
        <f>VLOOKUP(D89,Table1[#All],3,0)</f>
        <v>Accessories</v>
      </c>
      <c r="H89" s="5">
        <f>VLOOKUP(D89,Table1[#All],4,)</f>
        <v>350</v>
      </c>
      <c r="I89" s="5">
        <f>VLOOKUP(D89,Table1[#All],5,)</f>
        <v>220</v>
      </c>
      <c r="J89" s="5">
        <f t="shared" si="4"/>
        <v>1050</v>
      </c>
      <c r="K89" s="5">
        <f t="shared" si="5"/>
        <v>390</v>
      </c>
      <c r="L89" s="5" t="str">
        <f>VLOOKUP(C89,Table2[#All],2,)</f>
        <v>Manish Verma</v>
      </c>
      <c r="M89" s="5" t="str">
        <f>VLOOKUP(C89,Table2[#All],3,)</f>
        <v>North</v>
      </c>
      <c r="N89" s="5" t="str">
        <f>VLOOKUP(C89,Table2[#All],4,)</f>
        <v>Haryana</v>
      </c>
    </row>
    <row r="90" spans="1:14" x14ac:dyDescent="0.35">
      <c r="A90" s="5">
        <v>1089</v>
      </c>
      <c r="B90" s="6">
        <v>45746</v>
      </c>
      <c r="C90" s="5" t="s">
        <v>151</v>
      </c>
      <c r="D90" s="5" t="s">
        <v>73</v>
      </c>
      <c r="E90" s="5">
        <v>2</v>
      </c>
      <c r="F90" s="5" t="str">
        <f>VLOOKUP(D90,Table1[#All],2,0)</f>
        <v>Extension Board</v>
      </c>
      <c r="G90" s="5" t="str">
        <f>VLOOKUP(D90,Table1[#All],3,0)</f>
        <v>Electronics</v>
      </c>
      <c r="H90" s="5">
        <f>VLOOKUP(D90,Table1[#All],4,)</f>
        <v>750</v>
      </c>
      <c r="I90" s="5">
        <f>VLOOKUP(D90,Table1[#All],5,)</f>
        <v>550</v>
      </c>
      <c r="J90" s="5">
        <f t="shared" si="4"/>
        <v>1500</v>
      </c>
      <c r="K90" s="5">
        <f t="shared" si="5"/>
        <v>400</v>
      </c>
      <c r="L90" s="5" t="str">
        <f>VLOOKUP(C90,Table2[#All],2,)</f>
        <v>Rohan Jain</v>
      </c>
      <c r="M90" s="5" t="str">
        <f>VLOOKUP(C90,Table2[#All],3,)</f>
        <v>West</v>
      </c>
      <c r="N90" s="5" t="str">
        <f>VLOOKUP(C90,Table2[#All],4,)</f>
        <v>Rajasthan</v>
      </c>
    </row>
    <row r="91" spans="1:14" x14ac:dyDescent="0.35">
      <c r="A91" s="5">
        <v>1090</v>
      </c>
      <c r="B91" s="6">
        <v>45747</v>
      </c>
      <c r="C91" s="5" t="s">
        <v>153</v>
      </c>
      <c r="D91" s="5" t="s">
        <v>75</v>
      </c>
      <c r="E91" s="5">
        <v>4</v>
      </c>
      <c r="F91" s="5" t="str">
        <f>VLOOKUP(D91,Table1[#All],2,0)</f>
        <v>Mouse Pad</v>
      </c>
      <c r="G91" s="5" t="str">
        <f>VLOOKUP(D91,Table1[#All],3,0)</f>
        <v>Accessories</v>
      </c>
      <c r="H91" s="5">
        <f>VLOOKUP(D91,Table1[#All],4,)</f>
        <v>250</v>
      </c>
      <c r="I91" s="5">
        <f>VLOOKUP(D91,Table1[#All],5,)</f>
        <v>150</v>
      </c>
      <c r="J91" s="5">
        <f t="shared" si="4"/>
        <v>1000</v>
      </c>
      <c r="K91" s="5">
        <f t="shared" si="5"/>
        <v>400</v>
      </c>
      <c r="L91" s="5" t="str">
        <f>VLOOKUP(C91,Table2[#All],2,)</f>
        <v>Priti Sharma</v>
      </c>
      <c r="M91" s="5" t="str">
        <f>VLOOKUP(C91,Table2[#All],3,)</f>
        <v>East</v>
      </c>
      <c r="N91" s="5" t="str">
        <f>VLOOKUP(C91,Table2[#All],4,)</f>
        <v>Bihar</v>
      </c>
    </row>
    <row r="92" spans="1:14" x14ac:dyDescent="0.35">
      <c r="A92" s="5">
        <v>1091</v>
      </c>
      <c r="B92" s="6">
        <v>45748</v>
      </c>
      <c r="C92" s="5" t="s">
        <v>77</v>
      </c>
      <c r="D92" s="5" t="s">
        <v>13</v>
      </c>
      <c r="E92" s="5">
        <v>3</v>
      </c>
      <c r="F92" s="5" t="str">
        <f>VLOOKUP(D92,Table1[#All],2,0)</f>
        <v>Laptop</v>
      </c>
      <c r="G92" s="5" t="str">
        <f>VLOOKUP(D92,Table1[#All],3,0)</f>
        <v>Electronics</v>
      </c>
      <c r="H92" s="5">
        <f>VLOOKUP(D92,Table1[#All],4,)</f>
        <v>50000</v>
      </c>
      <c r="I92" s="5">
        <f>VLOOKUP(D92,Table1[#All],5,)</f>
        <v>42000</v>
      </c>
      <c r="J92" s="5">
        <f t="shared" si="4"/>
        <v>150000</v>
      </c>
      <c r="K92" s="5">
        <f t="shared" si="5"/>
        <v>24000</v>
      </c>
      <c r="L92" s="5" t="str">
        <f>VLOOKUP(C92,Table2[#All],2,)</f>
        <v>Amit Patel</v>
      </c>
      <c r="M92" s="5" t="str">
        <f>VLOOKUP(C92,Table2[#All],3,)</f>
        <v>West</v>
      </c>
      <c r="N92" s="5" t="str">
        <f>VLOOKUP(C92,Table2[#All],4,)</f>
        <v>Gujarat</v>
      </c>
    </row>
    <row r="93" spans="1:14" x14ac:dyDescent="0.35">
      <c r="A93" s="5">
        <v>1092</v>
      </c>
      <c r="B93" s="6">
        <v>45749</v>
      </c>
      <c r="C93" s="5" t="s">
        <v>81</v>
      </c>
      <c r="D93" s="5" t="s">
        <v>16</v>
      </c>
      <c r="E93" s="5">
        <v>1</v>
      </c>
      <c r="F93" s="5" t="str">
        <f>VLOOKUP(D93,Table1[#All],2,0)</f>
        <v>Mouse</v>
      </c>
      <c r="G93" s="5" t="str">
        <f>VLOOKUP(D93,Table1[#All],3,0)</f>
        <v>Electronics</v>
      </c>
      <c r="H93" s="5">
        <f>VLOOKUP(D93,Table1[#All],4,)</f>
        <v>800</v>
      </c>
      <c r="I93" s="5">
        <f>VLOOKUP(D93,Table1[#All],5,)</f>
        <v>500</v>
      </c>
      <c r="J93" s="5">
        <f t="shared" si="4"/>
        <v>800</v>
      </c>
      <c r="K93" s="5">
        <f t="shared" si="5"/>
        <v>300</v>
      </c>
      <c r="L93" s="5" t="str">
        <f>VLOOKUP(C93,Table2[#All],2,)</f>
        <v>Rahul Shah</v>
      </c>
      <c r="M93" s="5" t="str">
        <f>VLOOKUP(C93,Table2[#All],3,)</f>
        <v>West</v>
      </c>
      <c r="N93" s="5" t="str">
        <f>VLOOKUP(C93,Table2[#All],4,)</f>
        <v>Gujarat</v>
      </c>
    </row>
    <row r="94" spans="1:14" x14ac:dyDescent="0.35">
      <c r="A94" s="5">
        <v>1093</v>
      </c>
      <c r="B94" s="6">
        <v>45750</v>
      </c>
      <c r="C94" s="5" t="s">
        <v>83</v>
      </c>
      <c r="D94" s="5" t="s">
        <v>18</v>
      </c>
      <c r="E94" s="5">
        <v>2</v>
      </c>
      <c r="F94" s="5" t="str">
        <f>VLOOKUP(D94,Table1[#All],2,0)</f>
        <v>Keyboard</v>
      </c>
      <c r="G94" s="5" t="str">
        <f>VLOOKUP(D94,Table1[#All],3,0)</f>
        <v>Electronics</v>
      </c>
      <c r="H94" s="5">
        <f>VLOOKUP(D94,Table1[#All],4,)</f>
        <v>1200</v>
      </c>
      <c r="I94" s="5">
        <f>VLOOKUP(D94,Table1[#All],5,)</f>
        <v>850</v>
      </c>
      <c r="J94" s="5">
        <f t="shared" si="4"/>
        <v>2400</v>
      </c>
      <c r="K94" s="5">
        <f t="shared" si="5"/>
        <v>700</v>
      </c>
      <c r="L94" s="5" t="str">
        <f>VLOOKUP(C94,Table2[#All],2,)</f>
        <v>Neha Patel</v>
      </c>
      <c r="M94" s="5" t="str">
        <f>VLOOKUP(C94,Table2[#All],3,)</f>
        <v>West</v>
      </c>
      <c r="N94" s="5" t="str">
        <f>VLOOKUP(C94,Table2[#All],4,)</f>
        <v>Gujarat</v>
      </c>
    </row>
    <row r="95" spans="1:14" x14ac:dyDescent="0.35">
      <c r="A95" s="5">
        <v>1094</v>
      </c>
      <c r="B95" s="6">
        <v>45751</v>
      </c>
      <c r="C95" s="5" t="s">
        <v>85</v>
      </c>
      <c r="D95" s="5" t="s">
        <v>20</v>
      </c>
      <c r="E95" s="5">
        <v>4</v>
      </c>
      <c r="F95" s="5" t="str">
        <f>VLOOKUP(D95,Table1[#All],2,0)</f>
        <v>Monitor</v>
      </c>
      <c r="G95" s="5" t="str">
        <f>VLOOKUP(D95,Table1[#All],3,0)</f>
        <v>Electronics</v>
      </c>
      <c r="H95" s="5">
        <f>VLOOKUP(D95,Table1[#All],4,)</f>
        <v>15000</v>
      </c>
      <c r="I95" s="5">
        <f>VLOOKUP(D95,Table1[#All],5,)</f>
        <v>12500</v>
      </c>
      <c r="J95" s="5">
        <f t="shared" si="4"/>
        <v>60000</v>
      </c>
      <c r="K95" s="5">
        <f t="shared" si="5"/>
        <v>10000</v>
      </c>
      <c r="L95" s="5" t="str">
        <f>VLOOKUP(C95,Table2[#All],2,)</f>
        <v>Priya Mehta</v>
      </c>
      <c r="M95" s="5" t="str">
        <f>VLOOKUP(C95,Table2[#All],3,)</f>
        <v>West</v>
      </c>
      <c r="N95" s="5" t="str">
        <f>VLOOKUP(C95,Table2[#All],4,)</f>
        <v>Maharashtra</v>
      </c>
    </row>
    <row r="96" spans="1:14" x14ac:dyDescent="0.35">
      <c r="A96" s="5">
        <v>1095</v>
      </c>
      <c r="B96" s="6">
        <v>45752</v>
      </c>
      <c r="C96" s="5" t="s">
        <v>88</v>
      </c>
      <c r="D96" s="5" t="s">
        <v>22</v>
      </c>
      <c r="E96" s="5">
        <v>4</v>
      </c>
      <c r="F96" s="5" t="str">
        <f>VLOOKUP(D96,Table1[#All],2,0)</f>
        <v>Printer</v>
      </c>
      <c r="G96" s="5" t="str">
        <f>VLOOKUP(D96,Table1[#All],3,0)</f>
        <v>Electronics</v>
      </c>
      <c r="H96" s="5">
        <f>VLOOKUP(D96,Table1[#All],4,)</f>
        <v>9000</v>
      </c>
      <c r="I96" s="5">
        <f>VLOOKUP(D96,Table1[#All],5,)</f>
        <v>7600</v>
      </c>
      <c r="J96" s="5">
        <f t="shared" si="4"/>
        <v>36000</v>
      </c>
      <c r="K96" s="5">
        <f t="shared" si="5"/>
        <v>5600</v>
      </c>
      <c r="L96" s="5" t="str">
        <f>VLOOKUP(C96,Table2[#All],2,)</f>
        <v>Karan Joshi</v>
      </c>
      <c r="M96" s="5" t="str">
        <f>VLOOKUP(C96,Table2[#All],3,)</f>
        <v>West</v>
      </c>
      <c r="N96" s="5" t="str">
        <f>VLOOKUP(C96,Table2[#All],4,)</f>
        <v>Maharashtra</v>
      </c>
    </row>
    <row r="97" spans="1:14" x14ac:dyDescent="0.35">
      <c r="A97" s="5">
        <v>1096</v>
      </c>
      <c r="B97" s="6">
        <v>45753</v>
      </c>
      <c r="C97" s="5" t="s">
        <v>90</v>
      </c>
      <c r="D97" s="5" t="s">
        <v>24</v>
      </c>
      <c r="E97" s="5">
        <v>3</v>
      </c>
      <c r="F97" s="5" t="str">
        <f>VLOOKUP(D97,Table1[#All],2,0)</f>
        <v>Mobile</v>
      </c>
      <c r="G97" s="5" t="str">
        <f>VLOOKUP(D97,Table1[#All],3,0)</f>
        <v>Electronics</v>
      </c>
      <c r="H97" s="5">
        <f>VLOOKUP(D97,Table1[#All],4,)</f>
        <v>25000</v>
      </c>
      <c r="I97" s="5">
        <f>VLOOKUP(D97,Table1[#All],5,)</f>
        <v>21000</v>
      </c>
      <c r="J97" s="5">
        <f t="shared" si="4"/>
        <v>75000</v>
      </c>
      <c r="K97" s="5">
        <f t="shared" si="5"/>
        <v>12000</v>
      </c>
      <c r="L97" s="5" t="str">
        <f>VLOOKUP(C97,Table2[#All],2,)</f>
        <v>Riya Desai</v>
      </c>
      <c r="M97" s="5" t="str">
        <f>VLOOKUP(C97,Table2[#All],3,)</f>
        <v>West</v>
      </c>
      <c r="N97" s="5" t="str">
        <f>VLOOKUP(C97,Table2[#All],4,)</f>
        <v>Rajasthan</v>
      </c>
    </row>
    <row r="98" spans="1:14" x14ac:dyDescent="0.35">
      <c r="A98" s="5">
        <v>1097</v>
      </c>
      <c r="B98" s="6">
        <v>45754</v>
      </c>
      <c r="C98" s="5" t="s">
        <v>93</v>
      </c>
      <c r="D98" s="5" t="s">
        <v>26</v>
      </c>
      <c r="E98" s="5">
        <v>1</v>
      </c>
      <c r="F98" s="5" t="str">
        <f>VLOOKUP(D98,Table1[#All],2,0)</f>
        <v>Earbuds</v>
      </c>
      <c r="G98" s="5" t="str">
        <f>VLOOKUP(D98,Table1[#All],3,0)</f>
        <v>Electronics</v>
      </c>
      <c r="H98" s="5">
        <f>VLOOKUP(D98,Table1[#All],4,)</f>
        <v>2000</v>
      </c>
      <c r="I98" s="5">
        <f>VLOOKUP(D98,Table1[#All],5,)</f>
        <v>1500</v>
      </c>
      <c r="J98" s="5">
        <f t="shared" si="4"/>
        <v>2000</v>
      </c>
      <c r="K98" s="5">
        <f t="shared" ref="K98:K101" si="6">J98-(I98*E98)</f>
        <v>500</v>
      </c>
      <c r="L98" s="5" t="str">
        <f>VLOOKUP(C98,Table2[#All],2,)</f>
        <v>Mohit Singh</v>
      </c>
      <c r="M98" s="5" t="str">
        <f>VLOOKUP(C98,Table2[#All],3,)</f>
        <v>North</v>
      </c>
      <c r="N98" s="5" t="str">
        <f>VLOOKUP(C98,Table2[#All],4,)</f>
        <v>Delhi</v>
      </c>
    </row>
    <row r="99" spans="1:14" x14ac:dyDescent="0.35">
      <c r="A99" s="5">
        <v>1098</v>
      </c>
      <c r="B99" s="6">
        <v>45755</v>
      </c>
      <c r="C99" s="5" t="s">
        <v>97</v>
      </c>
      <c r="D99" s="5" t="s">
        <v>28</v>
      </c>
      <c r="E99" s="5">
        <v>1</v>
      </c>
      <c r="F99" s="5" t="str">
        <f>VLOOKUP(D99,Table1[#All],2,0)</f>
        <v>Smart Watch</v>
      </c>
      <c r="G99" s="5" t="str">
        <f>VLOOKUP(D99,Table1[#All],3,0)</f>
        <v>Electronics</v>
      </c>
      <c r="H99" s="5">
        <f>VLOOKUP(D99,Table1[#All],4,)</f>
        <v>6000</v>
      </c>
      <c r="I99" s="5">
        <f>VLOOKUP(D99,Table1[#All],5,)</f>
        <v>5000</v>
      </c>
      <c r="J99" s="5">
        <f t="shared" si="4"/>
        <v>6000</v>
      </c>
      <c r="K99" s="5">
        <f t="shared" si="6"/>
        <v>1000</v>
      </c>
      <c r="L99" s="5" t="str">
        <f>VLOOKUP(C99,Table2[#All],2,)</f>
        <v>Anjali Verma</v>
      </c>
      <c r="M99" s="5" t="str">
        <f>VLOOKUP(C99,Table2[#All],3,)</f>
        <v>North</v>
      </c>
      <c r="N99" s="5" t="str">
        <f>VLOOKUP(C99,Table2[#All],4,)</f>
        <v>Delhi</v>
      </c>
    </row>
    <row r="100" spans="1:14" x14ac:dyDescent="0.35">
      <c r="A100" s="5">
        <v>1099</v>
      </c>
      <c r="B100" s="6">
        <v>45756</v>
      </c>
      <c r="C100" s="5" t="s">
        <v>99</v>
      </c>
      <c r="D100" s="5" t="s">
        <v>30</v>
      </c>
      <c r="E100" s="5">
        <v>5</v>
      </c>
      <c r="F100" s="5" t="str">
        <f>VLOOKUP(D100,Table1[#All],2,0)</f>
        <v>Chair</v>
      </c>
      <c r="G100" s="5" t="str">
        <f>VLOOKUP(D100,Table1[#All],3,0)</f>
        <v>Furniture</v>
      </c>
      <c r="H100" s="5">
        <f>VLOOKUP(D100,Table1[#All],4,)</f>
        <v>3500</v>
      </c>
      <c r="I100" s="5">
        <f>VLOOKUP(D100,Table1[#All],5,)</f>
        <v>2800</v>
      </c>
      <c r="J100" s="5">
        <f t="shared" si="4"/>
        <v>17500</v>
      </c>
      <c r="K100" s="5">
        <f t="shared" si="6"/>
        <v>3500</v>
      </c>
      <c r="L100" s="5" t="str">
        <f>VLOOKUP(C100,Table2[#All],2,)</f>
        <v>Rohit Kumar</v>
      </c>
      <c r="M100" s="5" t="str">
        <f>VLOOKUP(C100,Table2[#All],3,)</f>
        <v>North</v>
      </c>
      <c r="N100" s="5" t="str">
        <f>VLOOKUP(C100,Table2[#All],4,)</f>
        <v>Punjab</v>
      </c>
    </row>
    <row r="101" spans="1:14" x14ac:dyDescent="0.35">
      <c r="A101" s="5">
        <v>1100</v>
      </c>
      <c r="B101" s="6">
        <v>45757</v>
      </c>
      <c r="C101" s="5" t="s">
        <v>102</v>
      </c>
      <c r="D101" s="5" t="s">
        <v>33</v>
      </c>
      <c r="E101" s="5">
        <v>4</v>
      </c>
      <c r="F101" s="5" t="str">
        <f>VLOOKUP(D101,Table1[#All],2,0)</f>
        <v>Table</v>
      </c>
      <c r="G101" s="5" t="str">
        <f>VLOOKUP(D101,Table1[#All],3,0)</f>
        <v>Furniture</v>
      </c>
      <c r="H101" s="5">
        <f>VLOOKUP(D101,Table1[#All],4,)</f>
        <v>7000</v>
      </c>
      <c r="I101" s="5">
        <f>VLOOKUP(D101,Table1[#All],5,)</f>
        <v>5800</v>
      </c>
      <c r="J101" s="5">
        <f t="shared" si="4"/>
        <v>28000</v>
      </c>
      <c r="K101" s="5">
        <f t="shared" si="6"/>
        <v>4800</v>
      </c>
      <c r="L101" s="5" t="str">
        <f>VLOOKUP(C101,Table2[#All],2,)</f>
        <v>Simran Kaur</v>
      </c>
      <c r="M101" s="5" t="str">
        <f>VLOOKUP(C101,Table2[#All],3,)</f>
        <v>North</v>
      </c>
      <c r="N101" s="5" t="str">
        <f>VLOOKUP(C101,Table2[#All],4,)</f>
        <v>Punjab</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7387-B4A6-44CA-BCD1-415109F6F109}">
  <dimension ref="A1:N21"/>
  <sheetViews>
    <sheetView zoomScaleNormal="100" workbookViewId="0">
      <selection activeCell="D5" sqref="D5"/>
    </sheetView>
  </sheetViews>
  <sheetFormatPr defaultRowHeight="14.5" x14ac:dyDescent="0.35"/>
  <cols>
    <col min="1" max="1" width="11.90625" customWidth="1"/>
    <col min="2" max="2" width="13.453125" customWidth="1"/>
    <col min="3" max="3" width="12.36328125" customWidth="1"/>
    <col min="4" max="4" width="14.54296875" customWidth="1"/>
    <col min="6" max="6" width="10.7265625" bestFit="1" customWidth="1"/>
    <col min="7" max="7" width="12.1796875" bestFit="1" customWidth="1"/>
    <col min="8" max="8" width="3.90625" customWidth="1"/>
    <col min="9" max="9" width="10.7265625" bestFit="1" customWidth="1"/>
    <col min="10" max="10" width="11.54296875" bestFit="1" customWidth="1"/>
    <col min="11" max="11" width="3.90625" customWidth="1"/>
    <col min="12" max="12" width="12" bestFit="1" customWidth="1"/>
    <col min="13" max="13" width="12.1796875" bestFit="1" customWidth="1"/>
  </cols>
  <sheetData>
    <row r="1" spans="1:14" ht="21" x14ac:dyDescent="0.35">
      <c r="A1" s="37" t="s">
        <v>156</v>
      </c>
      <c r="B1" s="38"/>
      <c r="C1" s="38"/>
      <c r="D1" s="38"/>
      <c r="E1" s="38"/>
      <c r="F1" s="38"/>
      <c r="G1" s="38"/>
      <c r="H1" s="38"/>
      <c r="I1" s="38"/>
      <c r="J1" s="38"/>
      <c r="K1" s="38"/>
      <c r="L1" s="38"/>
      <c r="M1" s="38"/>
      <c r="N1" s="39"/>
    </row>
    <row r="2" spans="1:14" ht="14.5" customHeight="1" x14ac:dyDescent="0.35">
      <c r="A2" s="18"/>
      <c r="B2" s="8"/>
      <c r="C2" s="8"/>
      <c r="D2" s="8"/>
      <c r="E2" s="8"/>
      <c r="F2" s="8"/>
      <c r="G2" s="8"/>
      <c r="H2" s="8"/>
      <c r="I2" s="8"/>
      <c r="J2" s="8"/>
      <c r="K2" s="8"/>
      <c r="L2" s="8"/>
      <c r="M2" s="8"/>
      <c r="N2" s="7"/>
    </row>
    <row r="3" spans="1:14" ht="14" customHeight="1" x14ac:dyDescent="0.4">
      <c r="A3" s="46" t="s">
        <v>164</v>
      </c>
      <c r="B3" s="47"/>
      <c r="C3" s="8"/>
      <c r="D3" s="8"/>
      <c r="E3" s="37" t="s">
        <v>172</v>
      </c>
      <c r="F3" s="38"/>
      <c r="G3" s="38"/>
      <c r="H3" s="38"/>
      <c r="I3" s="38"/>
      <c r="J3" s="38"/>
      <c r="K3" s="38"/>
      <c r="L3" s="38"/>
      <c r="M3" s="38"/>
      <c r="N3" s="39"/>
    </row>
    <row r="4" spans="1:14" x14ac:dyDescent="0.35">
      <c r="A4" s="11"/>
      <c r="B4" s="17"/>
      <c r="C4" s="36"/>
      <c r="D4" s="8"/>
      <c r="E4" s="18"/>
      <c r="F4" s="8"/>
      <c r="G4" s="8"/>
      <c r="H4" s="8"/>
      <c r="I4" s="8"/>
      <c r="J4" s="8"/>
      <c r="K4" s="8"/>
      <c r="L4" s="8"/>
      <c r="M4" s="8"/>
      <c r="N4" s="7"/>
    </row>
    <row r="5" spans="1:14" x14ac:dyDescent="0.35">
      <c r="A5" s="12" t="s">
        <v>157</v>
      </c>
      <c r="B5" s="13">
        <f>SUM('Sales Data'!J2:J101)</f>
        <v>2459740</v>
      </c>
      <c r="C5" s="8"/>
      <c r="D5" s="8"/>
      <c r="E5" s="18"/>
      <c r="F5" s="61" t="s">
        <v>2</v>
      </c>
      <c r="G5" s="11" t="s">
        <v>174</v>
      </c>
      <c r="H5" s="8"/>
      <c r="I5" s="61" t="s">
        <v>2</v>
      </c>
      <c r="J5" s="11" t="s">
        <v>176</v>
      </c>
      <c r="K5" s="8"/>
      <c r="L5" s="61" t="s">
        <v>8</v>
      </c>
      <c r="M5" s="11" t="s">
        <v>174</v>
      </c>
      <c r="N5" s="7"/>
    </row>
    <row r="6" spans="1:14" x14ac:dyDescent="0.35">
      <c r="A6" s="12" t="s">
        <v>158</v>
      </c>
      <c r="B6" s="13">
        <f>SUM('Sales Data'!K2:K101)</f>
        <v>413135</v>
      </c>
      <c r="C6" s="8"/>
      <c r="D6" s="8"/>
      <c r="E6" s="18"/>
      <c r="F6" s="62" t="s">
        <v>52</v>
      </c>
      <c r="G6" s="58">
        <v>23250</v>
      </c>
      <c r="H6" s="8"/>
      <c r="I6" s="62" t="s">
        <v>52</v>
      </c>
      <c r="J6" s="58">
        <v>7250</v>
      </c>
      <c r="K6" s="8"/>
      <c r="L6" s="62" t="s">
        <v>115</v>
      </c>
      <c r="M6" s="58">
        <v>2480</v>
      </c>
      <c r="N6" s="7"/>
    </row>
    <row r="7" spans="1:14" x14ac:dyDescent="0.35">
      <c r="A7" s="12" t="s">
        <v>159</v>
      </c>
      <c r="B7" s="13">
        <f>AVERAGE('Sales Data'!J2:J101)</f>
        <v>24597.4</v>
      </c>
      <c r="C7" s="8"/>
      <c r="D7" s="8"/>
      <c r="E7" s="18"/>
      <c r="F7" s="63" t="s">
        <v>15</v>
      </c>
      <c r="G7" s="59">
        <v>1350850</v>
      </c>
      <c r="H7" s="8"/>
      <c r="I7" s="63" t="s">
        <v>15</v>
      </c>
      <c r="J7" s="59">
        <v>225300</v>
      </c>
      <c r="K7" s="8"/>
      <c r="L7" s="63" t="s">
        <v>96</v>
      </c>
      <c r="M7" s="59">
        <v>92000</v>
      </c>
      <c r="N7" s="7"/>
    </row>
    <row r="8" spans="1:14" x14ac:dyDescent="0.35">
      <c r="A8" s="12" t="s">
        <v>160</v>
      </c>
      <c r="B8" s="13">
        <f>MEDIAN('Sales Data'!J2:J101)</f>
        <v>6000</v>
      </c>
      <c r="C8" s="8"/>
      <c r="D8" s="8"/>
      <c r="E8" s="18"/>
      <c r="F8" s="63" t="s">
        <v>32</v>
      </c>
      <c r="G8" s="59">
        <v>1055300</v>
      </c>
      <c r="H8" s="8"/>
      <c r="I8" s="63" t="s">
        <v>32</v>
      </c>
      <c r="J8" s="59">
        <v>173000</v>
      </c>
      <c r="K8" s="8"/>
      <c r="L8" s="63" t="s">
        <v>80</v>
      </c>
      <c r="M8" s="59">
        <v>717000</v>
      </c>
      <c r="N8" s="7"/>
    </row>
    <row r="9" spans="1:14" x14ac:dyDescent="0.35">
      <c r="A9" s="12" t="s">
        <v>161</v>
      </c>
      <c r="B9" s="15">
        <f>COUNTA('Sales Data'!A2:A101)</f>
        <v>100</v>
      </c>
      <c r="C9" s="8"/>
      <c r="D9" s="8"/>
      <c r="E9" s="18"/>
      <c r="F9" s="64" t="s">
        <v>43</v>
      </c>
      <c r="G9" s="59">
        <v>30340</v>
      </c>
      <c r="H9" s="8"/>
      <c r="I9" s="64" t="s">
        <v>43</v>
      </c>
      <c r="J9" s="59">
        <v>7585</v>
      </c>
      <c r="K9" s="8"/>
      <c r="L9" s="63" t="s">
        <v>106</v>
      </c>
      <c r="M9" s="59">
        <v>303150</v>
      </c>
      <c r="N9" s="7"/>
    </row>
    <row r="10" spans="1:14" x14ac:dyDescent="0.35">
      <c r="A10" s="12" t="s">
        <v>162</v>
      </c>
      <c r="B10" s="15">
        <f>SUM('Sales Data'!E2:E101)</f>
        <v>285</v>
      </c>
      <c r="C10" s="8"/>
      <c r="D10" s="8"/>
      <c r="E10" s="18"/>
      <c r="F10" s="22" t="s">
        <v>173</v>
      </c>
      <c r="G10" s="60">
        <v>2459740</v>
      </c>
      <c r="H10" s="8"/>
      <c r="I10" s="22" t="s">
        <v>173</v>
      </c>
      <c r="J10" s="65">
        <v>413135</v>
      </c>
      <c r="K10" s="8"/>
      <c r="L10" s="63" t="s">
        <v>132</v>
      </c>
      <c r="M10" s="59">
        <v>5600</v>
      </c>
      <c r="N10" s="7"/>
    </row>
    <row r="11" spans="1:14" x14ac:dyDescent="0.35">
      <c r="A11" s="12" t="s">
        <v>163</v>
      </c>
      <c r="B11" s="13">
        <f>AVERAGE('Sales Data'!K2:K101)</f>
        <v>4131.3500000000004</v>
      </c>
      <c r="C11" s="8"/>
      <c r="D11" s="8"/>
      <c r="E11" s="18"/>
      <c r="F11" s="8"/>
      <c r="G11" s="8"/>
      <c r="H11" s="8"/>
      <c r="I11" s="8"/>
      <c r="J11" s="8"/>
      <c r="K11" s="8"/>
      <c r="L11" s="63" t="s">
        <v>135</v>
      </c>
      <c r="M11" s="59">
        <v>25800</v>
      </c>
      <c r="N11" s="7"/>
    </row>
    <row r="12" spans="1:14" x14ac:dyDescent="0.35">
      <c r="A12" s="18"/>
      <c r="B12" s="8"/>
      <c r="C12" s="8"/>
      <c r="D12" s="8"/>
      <c r="E12" s="18"/>
      <c r="F12" s="8"/>
      <c r="G12" s="8"/>
      <c r="H12" s="8"/>
      <c r="I12" s="8"/>
      <c r="J12" s="8"/>
      <c r="K12" s="8"/>
      <c r="L12" s="63" t="s">
        <v>87</v>
      </c>
      <c r="M12" s="59">
        <v>336000</v>
      </c>
      <c r="N12" s="7"/>
    </row>
    <row r="13" spans="1:14" x14ac:dyDescent="0.35">
      <c r="A13" s="18"/>
      <c r="B13" s="8"/>
      <c r="C13" s="8"/>
      <c r="D13" s="8"/>
      <c r="E13" s="18"/>
      <c r="F13" s="8"/>
      <c r="G13" s="8"/>
      <c r="H13" s="8"/>
      <c r="I13" s="8"/>
      <c r="J13" s="8"/>
      <c r="K13" s="8"/>
      <c r="L13" s="63" t="s">
        <v>123</v>
      </c>
      <c r="M13" s="59">
        <v>11340</v>
      </c>
      <c r="N13" s="7"/>
    </row>
    <row r="14" spans="1:14" ht="16" x14ac:dyDescent="0.4">
      <c r="A14" s="44" t="s">
        <v>165</v>
      </c>
      <c r="B14" s="45"/>
      <c r="C14" s="45"/>
      <c r="D14" s="45"/>
      <c r="E14" s="18"/>
      <c r="F14" s="8"/>
      <c r="G14" s="8"/>
      <c r="H14" s="8"/>
      <c r="I14" s="8"/>
      <c r="J14" s="8"/>
      <c r="K14" s="8"/>
      <c r="L14" s="63" t="s">
        <v>101</v>
      </c>
      <c r="M14" s="59">
        <v>161000</v>
      </c>
      <c r="N14" s="7"/>
    </row>
    <row r="15" spans="1:14" x14ac:dyDescent="0.35">
      <c r="A15" s="11"/>
      <c r="B15" s="35" t="s">
        <v>177</v>
      </c>
      <c r="C15" s="11"/>
      <c r="D15" s="34"/>
      <c r="E15" s="18"/>
      <c r="F15" s="8"/>
      <c r="G15" s="8"/>
      <c r="H15" s="8"/>
      <c r="I15" s="8"/>
      <c r="J15" s="8"/>
      <c r="K15" s="8"/>
      <c r="L15" s="63" t="s">
        <v>92</v>
      </c>
      <c r="M15" s="59">
        <v>278750</v>
      </c>
      <c r="N15" s="7"/>
    </row>
    <row r="16" spans="1:14" x14ac:dyDescent="0.35">
      <c r="A16" s="11" t="s">
        <v>166</v>
      </c>
      <c r="B16" s="11" t="str">
        <f>IF(B5&gt;2000000,"Target Achieved","Target not Achieved")</f>
        <v>Target Achieved</v>
      </c>
      <c r="C16" s="40"/>
      <c r="D16" s="41"/>
      <c r="E16" s="18"/>
      <c r="F16" s="8"/>
      <c r="G16" s="8"/>
      <c r="H16" s="8"/>
      <c r="I16" s="8"/>
      <c r="J16" s="8"/>
      <c r="K16" s="8"/>
      <c r="L16" s="63" t="s">
        <v>138</v>
      </c>
      <c r="M16" s="59">
        <v>26100</v>
      </c>
      <c r="N16" s="7"/>
    </row>
    <row r="17" spans="1:14" x14ac:dyDescent="0.35">
      <c r="A17" s="11" t="s">
        <v>167</v>
      </c>
      <c r="B17" s="14">
        <f>SUMIF('Sales Data'!G2:G101,"Electronics",'Sales Data'!J2:J1010)</f>
        <v>1350850</v>
      </c>
      <c r="C17" s="42" t="s">
        <v>170</v>
      </c>
      <c r="D17" s="43"/>
      <c r="E17" s="18"/>
      <c r="F17" s="8"/>
      <c r="G17" s="8"/>
      <c r="H17" s="8"/>
      <c r="I17" s="8"/>
      <c r="J17" s="8"/>
      <c r="K17" s="8"/>
      <c r="L17" s="63" t="s">
        <v>129</v>
      </c>
      <c r="M17" s="59">
        <v>2000</v>
      </c>
      <c r="N17" s="7"/>
    </row>
    <row r="18" spans="1:14" x14ac:dyDescent="0.35">
      <c r="A18" s="11" t="s">
        <v>168</v>
      </c>
      <c r="B18" s="16">
        <f>MATCH("P110",Table1[Product ID],)</f>
        <v>10</v>
      </c>
      <c r="C18" s="42" t="s">
        <v>171</v>
      </c>
      <c r="D18" s="43"/>
      <c r="E18" s="19"/>
      <c r="F18" s="8"/>
      <c r="G18" s="8"/>
      <c r="H18" s="8"/>
      <c r="I18" s="8"/>
      <c r="J18" s="8"/>
      <c r="K18" s="8"/>
      <c r="L18" s="63" t="s">
        <v>109</v>
      </c>
      <c r="M18" s="59">
        <v>498000</v>
      </c>
      <c r="N18" s="7"/>
    </row>
    <row r="19" spans="1:14" x14ac:dyDescent="0.35">
      <c r="A19" s="11" t="s">
        <v>169</v>
      </c>
      <c r="B19" s="11" t="str" cm="1">
        <f t="array" ref="B19">INDEX(Table1[Product Name],10,0)</f>
        <v>Table</v>
      </c>
      <c r="C19" s="40"/>
      <c r="D19" s="41"/>
      <c r="E19" s="18"/>
      <c r="F19" s="8"/>
      <c r="G19" s="8"/>
      <c r="H19" s="8"/>
      <c r="I19" s="8"/>
      <c r="J19" s="8"/>
      <c r="K19" s="8"/>
      <c r="L19" s="64" t="s">
        <v>118</v>
      </c>
      <c r="M19" s="59">
        <v>520</v>
      </c>
      <c r="N19" s="7"/>
    </row>
    <row r="20" spans="1:14" x14ac:dyDescent="0.35">
      <c r="A20" s="18"/>
      <c r="B20" s="8"/>
      <c r="C20" s="8"/>
      <c r="D20" s="8"/>
      <c r="E20" s="18"/>
      <c r="F20" s="8"/>
      <c r="G20" s="8"/>
      <c r="H20" s="8"/>
      <c r="I20" s="8"/>
      <c r="J20" s="8"/>
      <c r="K20" s="8"/>
      <c r="L20" s="22" t="s">
        <v>173</v>
      </c>
      <c r="M20" s="60">
        <v>2459740</v>
      </c>
      <c r="N20" s="7"/>
    </row>
    <row r="21" spans="1:14" x14ac:dyDescent="0.35">
      <c r="A21" s="20"/>
      <c r="B21" s="9"/>
      <c r="C21" s="9"/>
      <c r="D21" s="9"/>
      <c r="E21" s="20"/>
      <c r="F21" s="9"/>
      <c r="G21" s="9"/>
      <c r="H21" s="9"/>
      <c r="I21" s="9"/>
      <c r="J21" s="9"/>
      <c r="K21" s="9"/>
      <c r="L21" s="9"/>
      <c r="M21" s="9"/>
      <c r="N21" s="10"/>
    </row>
  </sheetData>
  <mergeCells count="8">
    <mergeCell ref="A1:N1"/>
    <mergeCell ref="E3:N3"/>
    <mergeCell ref="C19:D19"/>
    <mergeCell ref="C18:D18"/>
    <mergeCell ref="A14:D14"/>
    <mergeCell ref="C16:D16"/>
    <mergeCell ref="C17:D17"/>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098F-2652-4934-AAF1-0D3D106CB460}">
  <dimension ref="A1:R24"/>
  <sheetViews>
    <sheetView tabSelected="1" workbookViewId="0">
      <selection activeCell="G26" sqref="G26"/>
    </sheetView>
  </sheetViews>
  <sheetFormatPr defaultColWidth="13.1796875" defaultRowHeight="14.5" x14ac:dyDescent="0.35"/>
  <cols>
    <col min="1" max="1" width="14.36328125" customWidth="1"/>
    <col min="2" max="2" width="15.81640625" bestFit="1" customWidth="1"/>
    <col min="3" max="3" width="13.36328125" bestFit="1" customWidth="1"/>
    <col min="4" max="4" width="13.90625" bestFit="1" customWidth="1"/>
    <col min="11" max="11" width="11.36328125" customWidth="1"/>
    <col min="12" max="12" width="12.36328125" customWidth="1"/>
    <col min="13" max="13" width="6.7265625" customWidth="1"/>
  </cols>
  <sheetData>
    <row r="1" spans="1:18" ht="26" customHeight="1" x14ac:dyDescent="0.35">
      <c r="A1" s="48" t="s">
        <v>175</v>
      </c>
      <c r="B1" s="49"/>
      <c r="C1" s="49"/>
      <c r="D1" s="49"/>
      <c r="E1" s="49"/>
      <c r="F1" s="49"/>
      <c r="G1" s="49"/>
      <c r="H1" s="49"/>
      <c r="I1" s="49"/>
      <c r="J1" s="49"/>
      <c r="K1" s="49"/>
      <c r="L1" s="49"/>
      <c r="M1" s="50"/>
      <c r="N1" s="23"/>
      <c r="O1" s="21"/>
      <c r="P1" s="21"/>
      <c r="Q1" s="21"/>
      <c r="R1" s="21"/>
    </row>
    <row r="2" spans="1:18" ht="14.5" customHeight="1" x14ac:dyDescent="0.35">
      <c r="A2" s="54"/>
      <c r="B2" s="51"/>
      <c r="C2" s="51"/>
      <c r="D2" s="51"/>
      <c r="E2" s="51"/>
      <c r="F2" s="51"/>
      <c r="G2" s="51"/>
      <c r="H2" s="51"/>
      <c r="I2" s="51"/>
      <c r="J2" s="51"/>
      <c r="K2" s="51"/>
      <c r="L2" s="51"/>
      <c r="M2" s="55"/>
      <c r="N2" s="23"/>
      <c r="O2" s="21"/>
      <c r="P2" s="21"/>
      <c r="Q2" s="21"/>
      <c r="R2" s="21"/>
    </row>
    <row r="3" spans="1:18" x14ac:dyDescent="0.35">
      <c r="A3" s="29"/>
      <c r="B3" s="30"/>
      <c r="C3" s="30"/>
      <c r="D3" s="30"/>
      <c r="E3" s="30"/>
      <c r="F3" s="30"/>
      <c r="G3" s="30"/>
      <c r="H3" s="30"/>
      <c r="I3" s="30"/>
      <c r="J3" s="30"/>
      <c r="K3" s="30"/>
      <c r="L3" s="30"/>
      <c r="M3" s="31"/>
    </row>
    <row r="4" spans="1:18" x14ac:dyDescent="0.35">
      <c r="A4" s="56" t="s">
        <v>157</v>
      </c>
      <c r="B4" s="52" t="s">
        <v>158</v>
      </c>
      <c r="C4" s="52" t="s">
        <v>161</v>
      </c>
      <c r="D4" s="52" t="s">
        <v>159</v>
      </c>
      <c r="E4" s="30"/>
      <c r="F4" s="32"/>
      <c r="G4" s="30"/>
      <c r="H4" s="32"/>
      <c r="I4" s="30"/>
      <c r="J4" s="30"/>
      <c r="K4" s="30"/>
      <c r="L4" s="30"/>
      <c r="M4" s="31"/>
    </row>
    <row r="5" spans="1:18" ht="16" x14ac:dyDescent="0.35">
      <c r="A5" s="57">
        <f>Analysis!B5</f>
        <v>2459740</v>
      </c>
      <c r="B5" s="53">
        <f>Analysis!B6</f>
        <v>413135</v>
      </c>
      <c r="C5" s="66">
        <f>Analysis!B9</f>
        <v>100</v>
      </c>
      <c r="D5" s="53">
        <f>Analysis!B7</f>
        <v>24597.4</v>
      </c>
      <c r="E5" s="30"/>
      <c r="F5" s="32"/>
      <c r="G5" s="30"/>
      <c r="H5" s="33"/>
      <c r="I5" s="30"/>
      <c r="J5" s="30"/>
      <c r="K5" s="30"/>
      <c r="L5" s="30"/>
      <c r="M5" s="31"/>
    </row>
    <row r="6" spans="1:18" x14ac:dyDescent="0.35">
      <c r="A6" s="29"/>
      <c r="B6" s="30"/>
      <c r="C6" s="30"/>
      <c r="D6" s="30"/>
      <c r="E6" s="30"/>
      <c r="F6" s="30"/>
      <c r="G6" s="30"/>
      <c r="H6" s="30"/>
      <c r="I6" s="30"/>
      <c r="J6" s="30"/>
      <c r="K6" s="30"/>
      <c r="L6" s="30"/>
      <c r="M6" s="31"/>
    </row>
    <row r="7" spans="1:18" x14ac:dyDescent="0.35">
      <c r="A7" s="29"/>
      <c r="B7" s="30"/>
      <c r="C7" s="30"/>
      <c r="D7" s="30"/>
      <c r="E7" s="30"/>
      <c r="F7" s="30"/>
      <c r="G7" s="30"/>
      <c r="H7" s="30"/>
      <c r="I7" s="30"/>
      <c r="J7" s="30"/>
      <c r="K7" s="30"/>
      <c r="L7" s="30"/>
      <c r="M7" s="31"/>
    </row>
    <row r="8" spans="1:18" x14ac:dyDescent="0.35">
      <c r="A8" s="29"/>
      <c r="B8" s="30"/>
      <c r="C8" s="30"/>
      <c r="D8" s="30"/>
      <c r="E8" s="30"/>
      <c r="F8" s="30"/>
      <c r="G8" s="30"/>
      <c r="H8" s="30"/>
      <c r="I8" s="30"/>
      <c r="J8" s="30"/>
      <c r="K8" s="30"/>
      <c r="L8" s="30"/>
      <c r="M8" s="31"/>
    </row>
    <row r="9" spans="1:18" x14ac:dyDescent="0.35">
      <c r="A9" s="24"/>
      <c r="B9" s="8"/>
      <c r="C9" s="8"/>
      <c r="D9" s="8"/>
      <c r="E9" s="8"/>
      <c r="F9" s="8"/>
      <c r="G9" s="8"/>
      <c r="H9" s="8"/>
      <c r="I9" s="8"/>
      <c r="J9" s="8"/>
      <c r="K9" s="8"/>
      <c r="L9" s="8"/>
      <c r="M9" s="25"/>
    </row>
    <row r="10" spans="1:18" x14ac:dyDescent="0.35">
      <c r="A10" s="24"/>
      <c r="B10" s="8"/>
      <c r="C10" s="8"/>
      <c r="D10" s="8"/>
      <c r="E10" s="8"/>
      <c r="F10" s="8"/>
      <c r="G10" s="8"/>
      <c r="H10" s="8"/>
      <c r="I10" s="8"/>
      <c r="J10" s="8"/>
      <c r="K10" s="8"/>
      <c r="L10" s="8"/>
      <c r="M10" s="25"/>
    </row>
    <row r="11" spans="1:18" x14ac:dyDescent="0.35">
      <c r="A11" s="24"/>
      <c r="B11" s="8"/>
      <c r="C11" s="8"/>
      <c r="D11" s="8"/>
      <c r="E11" s="8"/>
      <c r="F11" s="8"/>
      <c r="G11" s="8"/>
      <c r="H11" s="8"/>
      <c r="I11" s="8"/>
      <c r="J11" s="8"/>
      <c r="K11" s="8"/>
      <c r="L11" s="8"/>
      <c r="M11" s="25"/>
    </row>
    <row r="12" spans="1:18" x14ac:dyDescent="0.35">
      <c r="A12" s="24"/>
      <c r="B12" s="8"/>
      <c r="C12" s="8"/>
      <c r="D12" s="8"/>
      <c r="E12" s="8"/>
      <c r="F12" s="8"/>
      <c r="G12" s="8"/>
      <c r="H12" s="8"/>
      <c r="I12" s="8"/>
      <c r="J12" s="8"/>
      <c r="K12" s="8"/>
      <c r="L12" s="8"/>
      <c r="M12" s="25"/>
    </row>
    <row r="13" spans="1:18" x14ac:dyDescent="0.35">
      <c r="A13" s="24"/>
      <c r="B13" s="8"/>
      <c r="C13" s="8"/>
      <c r="D13" s="8"/>
      <c r="E13" s="8"/>
      <c r="F13" s="8"/>
      <c r="G13" s="8"/>
      <c r="H13" s="8"/>
      <c r="I13" s="8"/>
      <c r="J13" s="8"/>
      <c r="K13" s="8"/>
      <c r="L13" s="8"/>
      <c r="M13" s="25"/>
    </row>
    <row r="14" spans="1:18" x14ac:dyDescent="0.35">
      <c r="A14" s="24"/>
      <c r="B14" s="8"/>
      <c r="C14" s="8"/>
      <c r="D14" s="8"/>
      <c r="E14" s="8"/>
      <c r="F14" s="8"/>
      <c r="G14" s="8"/>
      <c r="H14" s="8"/>
      <c r="I14" s="8"/>
      <c r="J14" s="8"/>
      <c r="K14" s="8"/>
      <c r="L14" s="8"/>
      <c r="M14" s="25"/>
    </row>
    <row r="15" spans="1:18" x14ac:dyDescent="0.35">
      <c r="A15" s="24"/>
      <c r="B15" s="8"/>
      <c r="C15" s="8"/>
      <c r="D15" s="8"/>
      <c r="E15" s="8"/>
      <c r="F15" s="8"/>
      <c r="G15" s="8"/>
      <c r="H15" s="8"/>
      <c r="I15" s="8"/>
      <c r="J15" s="8"/>
      <c r="K15" s="8"/>
      <c r="L15" s="8"/>
      <c r="M15" s="25"/>
    </row>
    <row r="16" spans="1:18" x14ac:dyDescent="0.35">
      <c r="A16" s="24"/>
      <c r="B16" s="8"/>
      <c r="C16" s="8"/>
      <c r="D16" s="8"/>
      <c r="E16" s="8"/>
      <c r="F16" s="8"/>
      <c r="G16" s="8"/>
      <c r="H16" s="8"/>
      <c r="I16" s="8"/>
      <c r="J16" s="8"/>
      <c r="K16" s="8"/>
      <c r="L16" s="8"/>
      <c r="M16" s="25"/>
    </row>
    <row r="17" spans="1:13" x14ac:dyDescent="0.35">
      <c r="A17" s="24"/>
      <c r="B17" s="8"/>
      <c r="C17" s="8"/>
      <c r="D17" s="8"/>
      <c r="E17" s="8"/>
      <c r="F17" s="8"/>
      <c r="G17" s="8"/>
      <c r="H17" s="8"/>
      <c r="I17" s="8"/>
      <c r="J17" s="8"/>
      <c r="K17" s="8"/>
      <c r="L17" s="8"/>
      <c r="M17" s="25"/>
    </row>
    <row r="18" spans="1:13" x14ac:dyDescent="0.35">
      <c r="A18" s="24"/>
      <c r="B18" s="8"/>
      <c r="C18" s="8"/>
      <c r="D18" s="8"/>
      <c r="E18" s="8"/>
      <c r="F18" s="8"/>
      <c r="G18" s="8"/>
      <c r="H18" s="8"/>
      <c r="I18" s="8"/>
      <c r="J18" s="8"/>
      <c r="K18" s="8"/>
      <c r="L18" s="8"/>
      <c r="M18" s="25"/>
    </row>
    <row r="19" spans="1:13" x14ac:dyDescent="0.35">
      <c r="A19" s="24"/>
      <c r="B19" s="8"/>
      <c r="C19" s="8"/>
      <c r="D19" s="8"/>
      <c r="E19" s="8"/>
      <c r="F19" s="8"/>
      <c r="G19" s="8"/>
      <c r="H19" s="8"/>
      <c r="I19" s="8"/>
      <c r="J19" s="8"/>
      <c r="K19" s="8"/>
      <c r="L19" s="8"/>
      <c r="M19" s="25"/>
    </row>
    <row r="20" spans="1:13" x14ac:dyDescent="0.35">
      <c r="A20" s="24"/>
      <c r="B20" s="8"/>
      <c r="C20" s="8"/>
      <c r="D20" s="8"/>
      <c r="E20" s="8"/>
      <c r="F20" s="8"/>
      <c r="G20" s="8"/>
      <c r="H20" s="8"/>
      <c r="I20" s="8"/>
      <c r="J20" s="8"/>
      <c r="K20" s="8"/>
      <c r="L20" s="8"/>
      <c r="M20" s="25"/>
    </row>
    <row r="21" spans="1:13" x14ac:dyDescent="0.35">
      <c r="A21" s="24"/>
      <c r="B21" s="8"/>
      <c r="C21" s="8"/>
      <c r="D21" s="8"/>
      <c r="E21" s="8"/>
      <c r="F21" s="8"/>
      <c r="G21" s="8"/>
      <c r="H21" s="8"/>
      <c r="I21" s="8"/>
      <c r="J21" s="8"/>
      <c r="K21" s="8"/>
      <c r="L21" s="8"/>
      <c r="M21" s="25"/>
    </row>
    <row r="22" spans="1:13" x14ac:dyDescent="0.35">
      <c r="A22" s="24"/>
      <c r="B22" s="8"/>
      <c r="C22" s="8"/>
      <c r="D22" s="8"/>
      <c r="E22" s="8"/>
      <c r="F22" s="8"/>
      <c r="G22" s="8"/>
      <c r="H22" s="8"/>
      <c r="I22" s="8"/>
      <c r="J22" s="8"/>
      <c r="K22" s="8"/>
      <c r="L22" s="8"/>
      <c r="M22" s="25"/>
    </row>
    <row r="23" spans="1:13" x14ac:dyDescent="0.35">
      <c r="A23" s="24"/>
      <c r="B23" s="8"/>
      <c r="C23" s="8"/>
      <c r="D23" s="8"/>
      <c r="E23" s="8"/>
      <c r="F23" s="8"/>
      <c r="G23" s="8"/>
      <c r="H23" s="8"/>
      <c r="I23" s="8"/>
      <c r="J23" s="8"/>
      <c r="K23" s="8"/>
      <c r="L23" s="8"/>
      <c r="M23" s="25"/>
    </row>
    <row r="24" spans="1:13" ht="15" thickBot="1" x14ac:dyDescent="0.4">
      <c r="A24" s="26"/>
      <c r="B24" s="27"/>
      <c r="C24" s="27"/>
      <c r="D24" s="27"/>
      <c r="E24" s="27"/>
      <c r="F24" s="27"/>
      <c r="G24" s="27"/>
      <c r="H24" s="27"/>
      <c r="I24" s="27"/>
      <c r="J24" s="27"/>
      <c r="K24" s="27"/>
      <c r="L24" s="27"/>
      <c r="M24" s="28"/>
    </row>
  </sheetData>
  <mergeCells count="1">
    <mergeCell ref="A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Master</vt:lpstr>
      <vt:lpstr>Customer_Master</vt:lpstr>
      <vt:lpstr>Sales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Patel</dc:creator>
  <cp:lastModifiedBy>Vivek Patel</cp:lastModifiedBy>
  <dcterms:created xsi:type="dcterms:W3CDTF">2026-07-10T05:51:40Z</dcterms:created>
  <dcterms:modified xsi:type="dcterms:W3CDTF">2026-07-14T09:07:37Z</dcterms:modified>
</cp:coreProperties>
</file>